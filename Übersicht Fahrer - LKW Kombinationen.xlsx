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35" documentId="8_{FD9CED78-6F06-4ED8-9E23-C87F918F520C}" xr6:coauthVersionLast="47" xr6:coauthVersionMax="47" xr10:uidLastSave="{CAE18C87-DC0D-4359-B179-A2A6C6579875}"/>
  <bookViews>
    <workbookView xWindow="-120" yWindow="-120" windowWidth="51840" windowHeight="21120" tabRatio="599" firstSheet="7" activeTab="7" xr2:uid="{00000000-000D-0000-FFFF-FFFF00000000}"/>
  </bookViews>
  <sheets>
    <sheet name="Fuhrpark SA Verteilung Fix" sheetId="1" state="hidden" r:id="rId1"/>
    <sheet name="Tabelle Fahrrer EXT" sheetId="2" state="hidden" r:id="rId2"/>
    <sheet name="Verteilung Fuhrpark SA" sheetId="3" r:id="rId3"/>
    <sheet name="Stammbesetzung" sheetId="6" r:id="rId4"/>
    <sheet name="Trailer " sheetId="7" r:id="rId5"/>
    <sheet name="Liste" sheetId="10" r:id="rId6"/>
    <sheet name="Bedarf" sheetId="11" r:id="rId7"/>
    <sheet name="Springer" sheetId="12" r:id="rId8"/>
  </sheets>
  <definedNames>
    <definedName name="_xlnm._FilterDatabase" localSheetId="6" hidden="1">Bedarf!$A$1:$J$37</definedName>
    <definedName name="_xlnm._FilterDatabase" localSheetId="5" hidden="1">Liste!$A$2:$K$93</definedName>
    <definedName name="_xlnm._FilterDatabase" localSheetId="3" hidden="1">Stammbesetzung!$B$4:$J$79</definedName>
    <definedName name="_xlnm._FilterDatabase" localSheetId="4" hidden="1">'Trailer '!$A$11:$G$111</definedName>
    <definedName name="_xlnm._FilterDatabase" localSheetId="2" hidden="1">'Verteilung Fuhrpark SA'!$A$1:$E$1</definedName>
    <definedName name="_xlnm.Print_Titles" localSheetId="5">Liste!$2:$2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" l="1"/>
  <c r="I11" i="3"/>
  <c r="I5" i="3"/>
  <c r="I6" i="3"/>
  <c r="I9" i="3"/>
  <c r="I10" i="3"/>
  <c r="I8" i="3"/>
  <c r="I7" i="3"/>
  <c r="E3" i="11"/>
  <c r="E2" i="11"/>
  <c r="D3" i="11"/>
  <c r="D4" i="11"/>
  <c r="D5" i="11"/>
  <c r="D2" i="11"/>
  <c r="F2" i="11"/>
  <c r="E5" i="10"/>
  <c r="E3" i="10"/>
  <c r="G3" i="10"/>
  <c r="E4" i="10"/>
  <c r="G4" i="10"/>
  <c r="G5" i="10"/>
  <c r="E6" i="10"/>
  <c r="G6" i="10"/>
  <c r="E7" i="10"/>
  <c r="G7" i="10"/>
  <c r="E8" i="10"/>
  <c r="G8" i="10"/>
  <c r="E9" i="10"/>
  <c r="G9" i="10"/>
  <c r="E10" i="10"/>
  <c r="G10" i="10"/>
  <c r="E11" i="10"/>
  <c r="G11" i="10"/>
  <c r="E12" i="10"/>
  <c r="G12" i="10"/>
  <c r="E13" i="10"/>
  <c r="G13" i="10"/>
  <c r="E14" i="10"/>
  <c r="G14" i="10"/>
  <c r="E15" i="10"/>
  <c r="G15" i="10"/>
  <c r="E16" i="10"/>
  <c r="G16" i="10"/>
  <c r="E17" i="10"/>
  <c r="G17" i="10"/>
  <c r="E18" i="10"/>
  <c r="G18" i="10"/>
  <c r="E19" i="10"/>
  <c r="G19" i="10"/>
  <c r="E20" i="10"/>
  <c r="G20" i="10"/>
  <c r="E21" i="10"/>
  <c r="G21" i="10"/>
  <c r="E22" i="10"/>
  <c r="G22" i="10"/>
  <c r="E23" i="10"/>
  <c r="G23" i="10"/>
  <c r="E24" i="10"/>
  <c r="G24" i="10"/>
  <c r="E25" i="10"/>
  <c r="G25" i="10"/>
  <c r="E26" i="10"/>
  <c r="G26" i="10"/>
  <c r="E27" i="10"/>
  <c r="G27" i="10"/>
  <c r="E28" i="10"/>
  <c r="G28" i="10"/>
  <c r="E29" i="10"/>
  <c r="G29" i="10"/>
  <c r="E30" i="10"/>
  <c r="G30" i="10"/>
  <c r="E31" i="10"/>
  <c r="G31" i="10"/>
  <c r="E32" i="10"/>
  <c r="G32" i="10"/>
  <c r="E33" i="10"/>
  <c r="G33" i="10"/>
  <c r="E34" i="10"/>
  <c r="G34" i="10"/>
  <c r="E35" i="10"/>
  <c r="G35" i="10"/>
  <c r="E36" i="10"/>
  <c r="G36" i="10"/>
  <c r="E37" i="10"/>
  <c r="G37" i="10"/>
  <c r="E38" i="10"/>
  <c r="G38" i="10"/>
  <c r="E39" i="10"/>
  <c r="G39" i="10"/>
  <c r="E40" i="10"/>
  <c r="G40" i="10"/>
  <c r="E41" i="10"/>
  <c r="G41" i="10"/>
  <c r="E42" i="10"/>
  <c r="G42" i="10"/>
  <c r="E43" i="10"/>
  <c r="G43" i="10"/>
  <c r="E44" i="10"/>
  <c r="G44" i="10"/>
  <c r="E45" i="10"/>
  <c r="G45" i="10"/>
  <c r="E46" i="10"/>
  <c r="G46" i="10"/>
  <c r="E47" i="10"/>
  <c r="G47" i="10"/>
  <c r="E48" i="10"/>
  <c r="G48" i="10"/>
  <c r="E49" i="10"/>
  <c r="G49" i="10"/>
  <c r="E50" i="10"/>
  <c r="G50" i="10"/>
  <c r="E51" i="10"/>
  <c r="G51" i="10"/>
  <c r="E52" i="10"/>
  <c r="G52" i="10"/>
  <c r="E53" i="10"/>
  <c r="G53" i="10"/>
  <c r="E54" i="10"/>
  <c r="G54" i="10"/>
  <c r="E55" i="10"/>
  <c r="G55" i="10"/>
  <c r="E56" i="10"/>
  <c r="G56" i="10"/>
  <c r="E57" i="10"/>
  <c r="G57" i="10"/>
  <c r="E58" i="10"/>
  <c r="G58" i="10"/>
  <c r="E59" i="10"/>
  <c r="G59" i="10"/>
  <c r="E60" i="10"/>
  <c r="G60" i="10"/>
  <c r="E61" i="10"/>
  <c r="G61" i="10"/>
  <c r="E62" i="10"/>
  <c r="G62" i="10"/>
  <c r="E63" i="10"/>
  <c r="G63" i="10"/>
  <c r="E64" i="10"/>
  <c r="G64" i="10"/>
  <c r="E65" i="10"/>
  <c r="G65" i="10"/>
  <c r="E66" i="10"/>
  <c r="G66" i="10"/>
  <c r="E67" i="10"/>
  <c r="G67" i="10"/>
  <c r="E68" i="10"/>
  <c r="G68" i="10"/>
  <c r="E69" i="10"/>
  <c r="G69" i="10"/>
  <c r="E70" i="10"/>
  <c r="G70" i="10"/>
  <c r="E71" i="10"/>
  <c r="G71" i="10"/>
  <c r="E72" i="10"/>
  <c r="G72" i="10"/>
  <c r="E73" i="10"/>
  <c r="G73" i="10"/>
  <c r="E74" i="10"/>
  <c r="G74" i="10"/>
  <c r="E75" i="10"/>
  <c r="G75" i="10"/>
  <c r="E76" i="10"/>
  <c r="G76" i="10"/>
  <c r="E77" i="10"/>
  <c r="G77" i="10"/>
  <c r="E78" i="10"/>
  <c r="G78" i="10"/>
  <c r="E79" i="10"/>
  <c r="G79" i="10"/>
  <c r="E80" i="10"/>
  <c r="G80" i="10"/>
  <c r="E81" i="10"/>
  <c r="G81" i="10"/>
  <c r="E82" i="10"/>
  <c r="G82" i="10"/>
  <c r="H83" i="10"/>
  <c r="E89" i="10"/>
  <c r="G89" i="10"/>
  <c r="E90" i="10"/>
  <c r="G90" i="10"/>
  <c r="E91" i="10"/>
  <c r="G91" i="10"/>
  <c r="E92" i="10"/>
  <c r="G92" i="10"/>
  <c r="E93" i="10"/>
  <c r="G93" i="10"/>
  <c r="I13" i="3" l="1"/>
  <c r="H2" i="11"/>
  <c r="E83" i="10"/>
  <c r="G83" i="10"/>
</calcChain>
</file>

<file path=xl/sharedStrings.xml><?xml version="1.0" encoding="utf-8"?>
<sst xmlns="http://schemas.openxmlformats.org/spreadsheetml/2006/main" count="2418" uniqueCount="949">
  <si>
    <t>Zugmaschine</t>
  </si>
  <si>
    <t>Hersteller</t>
  </si>
  <si>
    <t>Auflieger</t>
  </si>
  <si>
    <t>GENRE</t>
  </si>
  <si>
    <t>Leergewicht</t>
  </si>
  <si>
    <t>Fahrer (FEST)</t>
  </si>
  <si>
    <t>LP1131</t>
  </si>
  <si>
    <t>SCANIA</t>
  </si>
  <si>
    <t>LP5026</t>
  </si>
  <si>
    <t>FAYMONVILLE</t>
  </si>
  <si>
    <t>EXT PLAT 2X TWIST</t>
  </si>
  <si>
    <t>22t</t>
  </si>
  <si>
    <t>HELTEMES ROBERT</t>
  </si>
  <si>
    <t>LP1132</t>
  </si>
  <si>
    <t>VD4487</t>
  </si>
  <si>
    <t>EXT PLAT 2X</t>
  </si>
  <si>
    <t>LUTHUN CHRISTOPHE</t>
  </si>
  <si>
    <t>LP1133</t>
  </si>
  <si>
    <t>DAF</t>
  </si>
  <si>
    <t>LP5028</t>
  </si>
  <si>
    <t>21t</t>
  </si>
  <si>
    <t>FINKE PETER</t>
  </si>
  <si>
    <t>LP1134</t>
  </si>
  <si>
    <t>LP5033</t>
  </si>
  <si>
    <t>MAX-TRAILER</t>
  </si>
  <si>
    <t>20,5t</t>
  </si>
  <si>
    <t>HAIER MICHAEL</t>
  </si>
  <si>
    <t>LP1135</t>
  </si>
  <si>
    <t>LP5032</t>
  </si>
  <si>
    <t>BOERNER BERND</t>
  </si>
  <si>
    <t>LP1136</t>
  </si>
  <si>
    <t>LP5010</t>
  </si>
  <si>
    <t>JAGER RUDI</t>
  </si>
  <si>
    <t>LP1137</t>
  </si>
  <si>
    <t>LP5011</t>
  </si>
  <si>
    <t>FRESE UWE</t>
  </si>
  <si>
    <t>LP1138</t>
  </si>
  <si>
    <t>MERCEDES</t>
  </si>
  <si>
    <t>LP5012</t>
  </si>
  <si>
    <t>FRESSE DAVID</t>
  </si>
  <si>
    <t>LP1600</t>
  </si>
  <si>
    <t>LP5100</t>
  </si>
  <si>
    <t>Mega EXT PLAT + TWIST + RAMPEN</t>
  </si>
  <si>
    <t>19t</t>
  </si>
  <si>
    <t>BASTIEN ERIC</t>
  </si>
  <si>
    <t>LP1601</t>
  </si>
  <si>
    <t>LP5101</t>
  </si>
  <si>
    <t>KUNICNIKOV VLADIMIR</t>
  </si>
  <si>
    <t>LP1602</t>
  </si>
  <si>
    <t>LP5102</t>
  </si>
  <si>
    <t>GUTMANN VIKTOR</t>
  </si>
  <si>
    <t>LP2032</t>
  </si>
  <si>
    <t>LP8541</t>
  </si>
  <si>
    <t>KÖGEL</t>
  </si>
  <si>
    <t>PLATEAU Bracken</t>
  </si>
  <si>
    <t>15t</t>
  </si>
  <si>
    <t>HARMAND DIDIER</t>
  </si>
  <si>
    <t>LP2033</t>
  </si>
  <si>
    <t>LP8522</t>
  </si>
  <si>
    <t>DEVIN NICHOLAS</t>
  </si>
  <si>
    <t>LP2034</t>
  </si>
  <si>
    <t>LP8523</t>
  </si>
  <si>
    <t>LUPSA Trandafir</t>
  </si>
  <si>
    <t>LP2141</t>
  </si>
  <si>
    <t>LP5040</t>
  </si>
  <si>
    <t>EXT PLAT + TWIST</t>
  </si>
  <si>
    <t>18,6t</t>
  </si>
  <si>
    <t>GUTH DANIEL</t>
  </si>
  <si>
    <t>LP2142</t>
  </si>
  <si>
    <t>LP8542</t>
  </si>
  <si>
    <t>ESPEL JEAN-DENIS</t>
  </si>
  <si>
    <t>LP2143</t>
  </si>
  <si>
    <t>LP5042</t>
  </si>
  <si>
    <t>BOMBLED DAVID</t>
  </si>
  <si>
    <t>LP2144</t>
  </si>
  <si>
    <t>LP5084</t>
  </si>
  <si>
    <t>17t</t>
  </si>
  <si>
    <t>BAROTTE J-M</t>
  </si>
  <si>
    <t>LP2145</t>
  </si>
  <si>
    <t>LP5081</t>
  </si>
  <si>
    <t>SFAR FRANK</t>
  </si>
  <si>
    <t>LP2146</t>
  </si>
  <si>
    <t>LP5041</t>
  </si>
  <si>
    <t>MOSOLF ROLAND</t>
  </si>
  <si>
    <t>LP2147</t>
  </si>
  <si>
    <t>LP5047</t>
  </si>
  <si>
    <t>SCHMIDT ALEX</t>
  </si>
  <si>
    <t>LP2148</t>
  </si>
  <si>
    <t>LP5027</t>
  </si>
  <si>
    <t>RAPOSEIRO NUNO</t>
  </si>
  <si>
    <t>LP2149</t>
  </si>
  <si>
    <t>LP5083</t>
  </si>
  <si>
    <t>BELVAL JEAN-ROBERT</t>
  </si>
  <si>
    <t>LP2150</t>
  </si>
  <si>
    <t>LP5015</t>
  </si>
  <si>
    <t>SCHMITZ</t>
  </si>
  <si>
    <t>TAUT COIL CODE XL</t>
  </si>
  <si>
    <t>16,5t</t>
  </si>
  <si>
    <t>BIER MENN</t>
  </si>
  <si>
    <t>LP2161</t>
  </si>
  <si>
    <t>LP5025</t>
  </si>
  <si>
    <t>LIR CHRISTIAN</t>
  </si>
  <si>
    <t>LP2162</t>
  </si>
  <si>
    <t>LP8533</t>
  </si>
  <si>
    <t>SEQUEIRA NELSON</t>
  </si>
  <si>
    <t>LP2163</t>
  </si>
  <si>
    <t>LP5063</t>
  </si>
  <si>
    <t>KRONE</t>
  </si>
  <si>
    <t>TAUT OHNE TÜREN CODE XL</t>
  </si>
  <si>
    <t>15,4t</t>
  </si>
  <si>
    <t>KLAKOCER PASCAL</t>
  </si>
  <si>
    <t>LP2164</t>
  </si>
  <si>
    <t>LP5049</t>
  </si>
  <si>
    <t>DUSCHL REINHOLD</t>
  </si>
  <si>
    <t>LP2165</t>
  </si>
  <si>
    <t>LP5099</t>
  </si>
  <si>
    <t>BREGEOT BERNARD</t>
  </si>
  <si>
    <t>LP2301</t>
  </si>
  <si>
    <t>LP5088</t>
  </si>
  <si>
    <t>VERMUNT GUILLAUME</t>
  </si>
  <si>
    <t>LP2302</t>
  </si>
  <si>
    <t>LP5052</t>
  </si>
  <si>
    <t>CHRETIEN SAMUEL</t>
  </si>
  <si>
    <t>LP2371</t>
  </si>
  <si>
    <t>LP5098</t>
  </si>
  <si>
    <t>IALLONARDO RICHARD</t>
  </si>
  <si>
    <t>LP2372</t>
  </si>
  <si>
    <t>LP5087</t>
  </si>
  <si>
    <t>DOS PRAZERES AUGUSTO</t>
  </si>
  <si>
    <t>LP2373</t>
  </si>
  <si>
    <t>LP7999</t>
  </si>
  <si>
    <t>16,2t</t>
  </si>
  <si>
    <t xml:space="preserve">PERREIRA JOSE </t>
  </si>
  <si>
    <t>LP2374</t>
  </si>
  <si>
    <t>LP5013</t>
  </si>
  <si>
    <t>REINHARD DOM</t>
  </si>
  <si>
    <t>LP2375</t>
  </si>
  <si>
    <t>LP8521</t>
  </si>
  <si>
    <t>LUZCA TAMAS</t>
  </si>
  <si>
    <t>LP2377</t>
  </si>
  <si>
    <t>LP5024</t>
  </si>
  <si>
    <t>WIESSNER THOMMY</t>
  </si>
  <si>
    <t>LP2378</t>
  </si>
  <si>
    <t>LP7883</t>
  </si>
  <si>
    <t>TAUT COIL OHNE TÜREN CODE XL</t>
  </si>
  <si>
    <t xml:space="preserve">SCHULTE MAIK </t>
  </si>
  <si>
    <t>LP2379</t>
  </si>
  <si>
    <t>LP7400</t>
  </si>
  <si>
    <t>MEIERLING</t>
  </si>
  <si>
    <t xml:space="preserve">TAUT KURZE COILMULDE </t>
  </si>
  <si>
    <t>13,6t</t>
  </si>
  <si>
    <t>PERRAUT PASCAL</t>
  </si>
  <si>
    <t>LP2380</t>
  </si>
  <si>
    <t>LP8534</t>
  </si>
  <si>
    <t>CORRAL GUST</t>
  </si>
  <si>
    <t>LP2382</t>
  </si>
  <si>
    <t>LP5023</t>
  </si>
  <si>
    <t>ALVES PEDRO</t>
  </si>
  <si>
    <t>LP2383</t>
  </si>
  <si>
    <t>LP7205</t>
  </si>
  <si>
    <t>SIMIC NICOLAS</t>
  </si>
  <si>
    <t>LP2384</t>
  </si>
  <si>
    <t>LP5061</t>
  </si>
  <si>
    <t>COHEN BRUNO</t>
  </si>
  <si>
    <t>LP2385</t>
  </si>
  <si>
    <t>LP5014</t>
  </si>
  <si>
    <t>PENNER JAKOB</t>
  </si>
  <si>
    <t>LP2386</t>
  </si>
  <si>
    <t>LP7613</t>
  </si>
  <si>
    <t>PUDELKO UWE</t>
  </si>
  <si>
    <t>LP2387</t>
  </si>
  <si>
    <t>LP7884</t>
  </si>
  <si>
    <t>PETIPRETZ DANIEL</t>
  </si>
  <si>
    <t>LP2388</t>
  </si>
  <si>
    <t>LP5062</t>
  </si>
  <si>
    <t>LOPES FERNANDO</t>
  </si>
  <si>
    <t>LP2389</t>
  </si>
  <si>
    <t>LP5082</t>
  </si>
  <si>
    <t>BEAUMANN SYLVAIN</t>
  </si>
  <si>
    <t>LP2391</t>
  </si>
  <si>
    <t>Q3100</t>
  </si>
  <si>
    <t>1,5x EXT PLAT</t>
  </si>
  <si>
    <t>GUEBENNE TIBAULT</t>
  </si>
  <si>
    <t>LP2392</t>
  </si>
  <si>
    <t>LP5043</t>
  </si>
  <si>
    <t>ZIEBARTH ALEX</t>
  </si>
  <si>
    <t>LP2393</t>
  </si>
  <si>
    <t>LP5030</t>
  </si>
  <si>
    <t>FABERE CEDRIC</t>
  </si>
  <si>
    <t>LP2394</t>
  </si>
  <si>
    <t>LP5048</t>
  </si>
  <si>
    <t>ZORN JEAN-LUC</t>
  </si>
  <si>
    <t>LP2420</t>
  </si>
  <si>
    <t>LP7611</t>
  </si>
  <si>
    <t>DECHAMPS DIDIER</t>
  </si>
  <si>
    <t>LP2421</t>
  </si>
  <si>
    <t>LP7201</t>
  </si>
  <si>
    <t>AUSPERT JEREMY</t>
  </si>
  <si>
    <t>LP2422</t>
  </si>
  <si>
    <t>LP8532</t>
  </si>
  <si>
    <t>PARRIES MARTIN</t>
  </si>
  <si>
    <t>LP2423</t>
  </si>
  <si>
    <t>LP8005/LP8013</t>
  </si>
  <si>
    <t>TAUT CODE XL</t>
  </si>
  <si>
    <t>15,5t</t>
  </si>
  <si>
    <t>IONUT NITA</t>
  </si>
  <si>
    <t>LP2425</t>
  </si>
  <si>
    <t>LP7881</t>
  </si>
  <si>
    <t>ALKEN SASCHA</t>
  </si>
  <si>
    <t>LP2429</t>
  </si>
  <si>
    <t>LP7612</t>
  </si>
  <si>
    <t>SCHAUMLöFFEL MARKUS</t>
  </si>
  <si>
    <t>LP3331</t>
  </si>
  <si>
    <t>LP5054</t>
  </si>
  <si>
    <t>BORGER ROGER</t>
  </si>
  <si>
    <t>LP3334</t>
  </si>
  <si>
    <t>LP5051</t>
  </si>
  <si>
    <t>LAMBERT LUDO</t>
  </si>
  <si>
    <t>LP3335</t>
  </si>
  <si>
    <t>LP5045</t>
  </si>
  <si>
    <t>CHARLIER THIBAUT</t>
  </si>
  <si>
    <t>LP3336</t>
  </si>
  <si>
    <t>LP5046</t>
  </si>
  <si>
    <t>RIBEIRO DAVID</t>
  </si>
  <si>
    <t>LP3337</t>
  </si>
  <si>
    <t>LP5053</t>
  </si>
  <si>
    <t>HOMMES LOTHAR</t>
  </si>
  <si>
    <t>LP4220</t>
  </si>
  <si>
    <t>LP5086</t>
  </si>
  <si>
    <t>17,5t</t>
  </si>
  <si>
    <t>RODRIGUES CARLOS</t>
  </si>
  <si>
    <t>LP4303</t>
  </si>
  <si>
    <t>LP7882</t>
  </si>
  <si>
    <t>SCHARIPOW OLEG</t>
  </si>
  <si>
    <t>LP4304</t>
  </si>
  <si>
    <t>LP8535</t>
  </si>
  <si>
    <t>LUBIN CHRISTOPHE</t>
  </si>
  <si>
    <t>LP4310</t>
  </si>
  <si>
    <t>LP7203</t>
  </si>
  <si>
    <t>PILIPTSCHUK SERGEJ</t>
  </si>
  <si>
    <t>LP4315</t>
  </si>
  <si>
    <t>LP7885</t>
  </si>
  <si>
    <t>LUC HERVE</t>
  </si>
  <si>
    <t>LP4316</t>
  </si>
  <si>
    <t>LP8525</t>
  </si>
  <si>
    <t>DOS SANTOS MARCELINO</t>
  </si>
  <si>
    <t xml:space="preserve"> -  </t>
  </si>
  <si>
    <t>Springer</t>
  </si>
  <si>
    <t>FALK HOFMANN</t>
  </si>
  <si>
    <t>DEFOY ANTOINE</t>
  </si>
  <si>
    <t>COULIBALY NOUMORY</t>
  </si>
  <si>
    <t>STIER NORBERT</t>
  </si>
  <si>
    <t>CURADO NUNO</t>
  </si>
  <si>
    <t>Mertert</t>
  </si>
  <si>
    <t>LP7614</t>
  </si>
  <si>
    <t>Q4710</t>
  </si>
  <si>
    <t>Tieflader</t>
  </si>
  <si>
    <t>25t</t>
  </si>
  <si>
    <t>LP5001</t>
  </si>
  <si>
    <t>Alu Coilmulde</t>
  </si>
  <si>
    <t>LP8531</t>
  </si>
  <si>
    <t>LP8001</t>
  </si>
  <si>
    <t>HEBEBÜHNE</t>
  </si>
  <si>
    <t>12t</t>
  </si>
  <si>
    <t>LP8524</t>
  </si>
  <si>
    <t>TCT STANDING TRAILER</t>
  </si>
  <si>
    <t>LP5506</t>
  </si>
  <si>
    <t>16t</t>
  </si>
  <si>
    <t>RO</t>
  </si>
  <si>
    <t>LP7111</t>
  </si>
  <si>
    <t>LP7112</t>
  </si>
  <si>
    <t>LP7113</t>
  </si>
  <si>
    <t>LP7206</t>
  </si>
  <si>
    <t>LP5067</t>
  </si>
  <si>
    <t>KOEGEL</t>
  </si>
  <si>
    <t>TAUT JOLODA CODE XL</t>
  </si>
  <si>
    <t>LP5203</t>
  </si>
  <si>
    <t>LP7202</t>
  </si>
  <si>
    <t>SKYLINERS</t>
  </si>
  <si>
    <t>LP8501</t>
  </si>
  <si>
    <t>PLATEAU LOCHLEISTE</t>
  </si>
  <si>
    <t>LP8502</t>
  </si>
  <si>
    <t>LP8503</t>
  </si>
  <si>
    <t>LP5201</t>
  </si>
  <si>
    <t>PLATEAU</t>
  </si>
  <si>
    <t>LP5002</t>
  </si>
  <si>
    <t>ALU PLATEAU BRACKEN/COIL</t>
  </si>
  <si>
    <t>LP5007</t>
  </si>
  <si>
    <t>KAESSBOHRER</t>
  </si>
  <si>
    <t>EXT PLATEAU</t>
  </si>
  <si>
    <t>LP5008</t>
  </si>
  <si>
    <t>LP5505</t>
  </si>
  <si>
    <t>RX8929</t>
  </si>
  <si>
    <t>VAN HOLL</t>
  </si>
  <si>
    <t>Fahrer</t>
  </si>
  <si>
    <t>LUX</t>
  </si>
  <si>
    <t>D</t>
  </si>
  <si>
    <t>BE</t>
  </si>
  <si>
    <t>NL</t>
  </si>
  <si>
    <t>FR</t>
  </si>
  <si>
    <t>CH</t>
  </si>
  <si>
    <t>AT</t>
  </si>
  <si>
    <t>OK</t>
  </si>
  <si>
    <t xml:space="preserve"> -</t>
  </si>
  <si>
    <t>S8221</t>
  </si>
  <si>
    <t xml:space="preserve">DUSCHL REINI </t>
  </si>
  <si>
    <t> </t>
  </si>
  <si>
    <t xml:space="preserve">RIBEIRO DAVID  NATIONAL  </t>
  </si>
  <si>
    <t>EX1</t>
  </si>
  <si>
    <t>MALADIE</t>
  </si>
  <si>
    <t>LP1139</t>
  </si>
  <si>
    <t xml:space="preserve">ROMAO ESGAIA FRANSISCO  </t>
  </si>
  <si>
    <t>EX2</t>
  </si>
  <si>
    <t>PILIPTSCHUCK SERGEJ</t>
  </si>
  <si>
    <t>LP1140</t>
  </si>
  <si>
    <t>LP5039</t>
  </si>
  <si>
    <t xml:space="preserve">ZIEBARTH ALEXANDER   </t>
  </si>
  <si>
    <t>WIESSNER THOMAS</t>
  </si>
  <si>
    <t>LP1141</t>
  </si>
  <si>
    <t xml:space="preserve">MARKUS HANKE </t>
  </si>
  <si>
    <t>EX</t>
  </si>
  <si>
    <t>LP1142</t>
  </si>
  <si>
    <t>LP5038</t>
  </si>
  <si>
    <t>MATHE GUILLAUME  Fretiag 1 Tag frei</t>
  </si>
  <si>
    <t>MOSIG MARIO</t>
  </si>
  <si>
    <t>LP1143</t>
  </si>
  <si>
    <t xml:space="preserve">SCHMIDT ALEX    </t>
  </si>
  <si>
    <t>TERMINE</t>
  </si>
  <si>
    <t>STI</t>
  </si>
  <si>
    <t>LP1144</t>
  </si>
  <si>
    <t>LP5071</t>
  </si>
  <si>
    <t xml:space="preserve">PETITPRETZ DANIEL    </t>
  </si>
  <si>
    <t>PLT</t>
  </si>
  <si>
    <t xml:space="preserve">ALKEN SASCHA   </t>
  </si>
  <si>
    <t>15/04  15h30</t>
  </si>
  <si>
    <t>LP1145</t>
  </si>
  <si>
    <t>CAFFO MARCO  Freitag 1 Tag Urlaub</t>
  </si>
  <si>
    <t xml:space="preserve">ESPEL JEAN DENIS </t>
  </si>
  <si>
    <t>PLT O.B.</t>
  </si>
  <si>
    <t xml:space="preserve">BIER MENN </t>
  </si>
  <si>
    <t>LP1146</t>
  </si>
  <si>
    <t>LP5072</t>
  </si>
  <si>
    <t xml:space="preserve">LUTHUN CHRISTOPHE </t>
  </si>
  <si>
    <t>TLT</t>
  </si>
  <si>
    <t xml:space="preserve">PENNER JAKOB </t>
  </si>
  <si>
    <t>17/04  15h30</t>
  </si>
  <si>
    <t>LP1147</t>
  </si>
  <si>
    <t>LP5070</t>
  </si>
  <si>
    <t>RESCHKE THOMAS    Mittwoch ein halben tag Urlaub</t>
  </si>
  <si>
    <t>CM</t>
  </si>
  <si>
    <t xml:space="preserve">SCHAUMLOEFFEL MARKUS  </t>
  </si>
  <si>
    <t>LP1148</t>
  </si>
  <si>
    <t>FRESSE DAVID   Freitag 1 Tag Urlaub</t>
  </si>
  <si>
    <t>SST Fix</t>
  </si>
  <si>
    <r>
      <t xml:space="preserve">SEQUEIRA NELSON  /  </t>
    </r>
    <r>
      <rPr>
        <sz val="11"/>
        <color rgb="FFFF0000"/>
        <rFont val="Calibri"/>
        <family val="2"/>
      </rPr>
      <t>13/04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RDV DOC SPECIALISTE / TOUS LA JOURNEE</t>
    </r>
  </si>
  <si>
    <t>LP1149</t>
  </si>
  <si>
    <t>LP5037</t>
  </si>
  <si>
    <t>LP1150</t>
  </si>
  <si>
    <t>LP5073</t>
  </si>
  <si>
    <t>COLANTONIO CARLO</t>
  </si>
  <si>
    <t>LP1151</t>
  </si>
  <si>
    <t>LP5074</t>
  </si>
  <si>
    <t>IALLONARDO RICHARD Freitag 1 Tag Urlaub</t>
  </si>
  <si>
    <t>Melchiors, Dirk Friedrich Helmut</t>
  </si>
  <si>
    <t>LP1620</t>
  </si>
  <si>
    <t>BASTIEN ERIC    Freitag 1 Tag Frei</t>
  </si>
  <si>
    <t>LP1621</t>
  </si>
  <si>
    <t>Conger</t>
  </si>
  <si>
    <t>LP8857</t>
  </si>
  <si>
    <t>KAZARYAN, ROMAN</t>
  </si>
  <si>
    <t>LP2613</t>
  </si>
  <si>
    <t>LAURENT YOHANN</t>
  </si>
  <si>
    <t xml:space="preserve">LAMBERT LUDO   </t>
  </si>
  <si>
    <t>LP2614</t>
  </si>
  <si>
    <t xml:space="preserve">CHASEY FABRICE </t>
  </si>
  <si>
    <t>OUFRIGH MOHAMED</t>
  </si>
  <si>
    <t>LP2616</t>
  </si>
  <si>
    <t>LP5035</t>
  </si>
  <si>
    <t>SCIASCIA CHRISTOPHE   Freitag 1 Tag Urlaub</t>
  </si>
  <si>
    <t xml:space="preserve">SIMIC NICOLAS  </t>
  </si>
  <si>
    <t>LP2617</t>
  </si>
  <si>
    <t>LP2618</t>
  </si>
  <si>
    <t xml:space="preserve">VIEHWEGER JENS    </t>
  </si>
  <si>
    <t>LP2620</t>
  </si>
  <si>
    <t>LP8713</t>
  </si>
  <si>
    <t>SIMIC NICOLAS  Freitag 1 Tag Urlaub</t>
  </si>
  <si>
    <t>LP2623</t>
  </si>
  <si>
    <t xml:space="preserve">DIALLO AMADOU   </t>
  </si>
  <si>
    <t>LP2625</t>
  </si>
  <si>
    <t xml:space="preserve">GERLACH INGOLF   Dienstag Termin in FFM 08h-11h </t>
  </si>
  <si>
    <t>LP2627</t>
  </si>
  <si>
    <t xml:space="preserve">CHRETIEN SAMUEL      </t>
  </si>
  <si>
    <t>LP2628</t>
  </si>
  <si>
    <t>LP2629</t>
  </si>
  <si>
    <t>LP8861</t>
  </si>
  <si>
    <t xml:space="preserve">SEQUEIRA NELSON  </t>
  </si>
  <si>
    <t>LP2630</t>
  </si>
  <si>
    <t>LP5036</t>
  </si>
  <si>
    <t>LP2631</t>
  </si>
  <si>
    <t xml:space="preserve">DUSCHL REINHOLD  </t>
  </si>
  <si>
    <t>LP2632</t>
  </si>
  <si>
    <t>LP5034</t>
  </si>
  <si>
    <t xml:space="preserve">TEBLY GNABO   </t>
  </si>
  <si>
    <t>LP2633</t>
  </si>
  <si>
    <t>LP5083///LP8855</t>
  </si>
  <si>
    <t xml:space="preserve">ALTRINGER MARKUS  </t>
  </si>
  <si>
    <t>LP2634</t>
  </si>
  <si>
    <t xml:space="preserve">KEUCHEL FRANK </t>
  </si>
  <si>
    <t>LP3201</t>
  </si>
  <si>
    <t>LP8716</t>
  </si>
  <si>
    <t>LP3202</t>
  </si>
  <si>
    <t>LP8859</t>
  </si>
  <si>
    <t>TERWAGNE FRANCOIS</t>
  </si>
  <si>
    <t>LP3203</t>
  </si>
  <si>
    <t>LP8858</t>
  </si>
  <si>
    <t>DOMINGOS ANTONIO</t>
  </si>
  <si>
    <t>LP3204</t>
  </si>
  <si>
    <t xml:space="preserve">CELSON LUIS CASSULE </t>
  </si>
  <si>
    <t>LP3205</t>
  </si>
  <si>
    <t xml:space="preserve">LP5047 </t>
  </si>
  <si>
    <t>LP3206</t>
  </si>
  <si>
    <t>DHOUL-MADJIDI  ALI     Freitag 1 Tag Frei</t>
  </si>
  <si>
    <t>LP3207</t>
  </si>
  <si>
    <t xml:space="preserve">KABORE AIMEE </t>
  </si>
  <si>
    <t>LP3208</t>
  </si>
  <si>
    <t>LP8862</t>
  </si>
  <si>
    <t>FOTUE SOKOUDJOU JUSTIN  Freitag 1 Tag Frei</t>
  </si>
  <si>
    <t xml:space="preserve">MINNEBECK DENIS   </t>
  </si>
  <si>
    <t>LKW IN PANNE</t>
  </si>
  <si>
    <t xml:space="preserve">TEIXEIRA DA CRUZ JOAO AUGUSTO </t>
  </si>
  <si>
    <t>KERKELOV KRASIMIR</t>
  </si>
  <si>
    <t xml:space="preserve">BRUNZ ANDREAS    </t>
  </si>
  <si>
    <t>LP3432</t>
  </si>
  <si>
    <t xml:space="preserve">ABUCEWICZ CHRISTOPH  </t>
  </si>
  <si>
    <t>Ohne LKW</t>
  </si>
  <si>
    <t>LP3433</t>
  </si>
  <si>
    <t>VESELY LUDEK</t>
  </si>
  <si>
    <t>LP3434</t>
  </si>
  <si>
    <t>LP8855</t>
  </si>
  <si>
    <t>LKW in Panne</t>
  </si>
  <si>
    <t>LP3439</t>
  </si>
  <si>
    <t>LP8851</t>
  </si>
  <si>
    <t xml:space="preserve">BALAZS Zoltan </t>
  </si>
  <si>
    <t>LP3440</t>
  </si>
  <si>
    <t>SFAR FRANK  Freitag 1 Tag Urlaub</t>
  </si>
  <si>
    <t>LP3441</t>
  </si>
  <si>
    <t xml:space="preserve">SCHARIPOW OLEG  Freitag 1 Tag Urlaub </t>
  </si>
  <si>
    <t>LP3442</t>
  </si>
  <si>
    <t xml:space="preserve">LP5075 </t>
  </si>
  <si>
    <t>DEFOY ANTOINE   Freitag 1 Tag Urlaub</t>
  </si>
  <si>
    <t>LP3443</t>
  </si>
  <si>
    <t>LP5076</t>
  </si>
  <si>
    <t>BOMBLED DAVID   Freitag 1 Tag Zrlaub</t>
  </si>
  <si>
    <t>LP3531</t>
  </si>
  <si>
    <t>DEIMUNDT Andrei Freitag 1 Tag Urlaub</t>
  </si>
  <si>
    <t>LP3532</t>
  </si>
  <si>
    <t>LP8852 ---&gt;   LP8850</t>
  </si>
  <si>
    <t xml:space="preserve">WOLLMANN HOLGER </t>
  </si>
  <si>
    <t>Springer :</t>
  </si>
  <si>
    <t>LP3533</t>
  </si>
  <si>
    <t>LP8853</t>
  </si>
  <si>
    <t>MUNIC AZEVEDO DIOGENES</t>
  </si>
  <si>
    <t>CELSON LUIS CASSULE</t>
  </si>
  <si>
    <t>LP3534</t>
  </si>
  <si>
    <t xml:space="preserve">FOTUE SOKOUDJOU JUSTIN   </t>
  </si>
  <si>
    <t>LP3535</t>
  </si>
  <si>
    <t xml:space="preserve">FRESE UWE   Kann Freitag Frei machen  </t>
  </si>
  <si>
    <t>OLEG LARIN</t>
  </si>
  <si>
    <t>LP3536</t>
  </si>
  <si>
    <t>LP8856</t>
  </si>
  <si>
    <t xml:space="preserve">HARMAND LORENZO </t>
  </si>
  <si>
    <t>LP3537</t>
  </si>
  <si>
    <t xml:space="preserve">LOUVADO DOS SANTOS </t>
  </si>
  <si>
    <t>VON DER WEIDE DAVID  NATIONAL</t>
  </si>
  <si>
    <t xml:space="preserve">LP3538 </t>
  </si>
  <si>
    <t>LP8712</t>
  </si>
  <si>
    <t xml:space="preserve">SCHAUMLOEFFEL MARKUS   </t>
  </si>
  <si>
    <t xml:space="preserve">MINNEBECK MATHIAS </t>
  </si>
  <si>
    <t>LP3539</t>
  </si>
  <si>
    <t>LP8714</t>
  </si>
  <si>
    <t>COHEN BRUNO   Montag 1 Tag Frei</t>
  </si>
  <si>
    <t>LP3540</t>
  </si>
  <si>
    <t xml:space="preserve">ZÜBROW  WILLI </t>
  </si>
  <si>
    <t>LP3601</t>
  </si>
  <si>
    <t>TRLP681</t>
  </si>
  <si>
    <t xml:space="preserve">BIER MENN  </t>
  </si>
  <si>
    <t>LP3602</t>
  </si>
  <si>
    <t>TRLP680</t>
  </si>
  <si>
    <t>Von Der Weide David</t>
  </si>
  <si>
    <t>LP3603</t>
  </si>
  <si>
    <t>NITA IONUT Freitag 1 Tag Urlaub</t>
  </si>
  <si>
    <t>LP3604</t>
  </si>
  <si>
    <t>TRLP675</t>
  </si>
  <si>
    <t xml:space="preserve">DECHAMPS DIDIER  </t>
  </si>
  <si>
    <t>LP3605</t>
  </si>
  <si>
    <t>LP8715</t>
  </si>
  <si>
    <t>PENNER JAKOB  Montag 11 Uhr STI ! ! ! !  ABSOLUT ! ! ! !</t>
  </si>
  <si>
    <t>QATh710</t>
  </si>
  <si>
    <t xml:space="preserve">PERREIRA JOSE  NATIONAL </t>
  </si>
  <si>
    <t>Mercedes Leih</t>
  </si>
  <si>
    <t>Nur . National</t>
  </si>
  <si>
    <t>OLEG LARIN Freitag 1 Tag Frei</t>
  </si>
  <si>
    <t>Iveco Leih ab Dienstag</t>
  </si>
  <si>
    <t>NUR National</t>
  </si>
  <si>
    <t>Toni 1</t>
  </si>
  <si>
    <t>LP8522/LP6214</t>
  </si>
  <si>
    <t>NATIONAL</t>
  </si>
  <si>
    <t>Toni 2</t>
  </si>
  <si>
    <t>QATK161</t>
  </si>
  <si>
    <t>NATIONAL .</t>
  </si>
  <si>
    <t xml:space="preserve">Stammauflieger </t>
  </si>
  <si>
    <t>Stammfahrer</t>
  </si>
  <si>
    <t>Aufbau</t>
  </si>
  <si>
    <t>Trailer Rest</t>
  </si>
  <si>
    <t>Vergeben an</t>
  </si>
  <si>
    <t>LP8854</t>
  </si>
  <si>
    <t>RIBEIRO DAVID  NATIONAL</t>
  </si>
  <si>
    <t>National</t>
  </si>
  <si>
    <t>ROMAO ESGAIA FRANSISCO</t>
  </si>
  <si>
    <t xml:space="preserve">LP8501  / steht in Cessange </t>
  </si>
  <si>
    <t>PLT oBW ohne Genehmigung</t>
  </si>
  <si>
    <t>LP8711 /Wbillig</t>
  </si>
  <si>
    <t>Taut</t>
  </si>
  <si>
    <t>LP5024 / WBillig</t>
  </si>
  <si>
    <t xml:space="preserve">Coil </t>
  </si>
  <si>
    <t xml:space="preserve">MATHE GUILLAUME </t>
  </si>
  <si>
    <t>LP5025 / W Billig</t>
  </si>
  <si>
    <t>Coil</t>
  </si>
  <si>
    <t xml:space="preserve">SCHMIDT ALEX   </t>
  </si>
  <si>
    <t>LP7885 / W Billig</t>
  </si>
  <si>
    <t xml:space="preserve">HAIER MICHAEL </t>
  </si>
  <si>
    <t>LP5087  / Mertert</t>
  </si>
  <si>
    <t>Tele Ohne Lenk</t>
  </si>
  <si>
    <t xml:space="preserve">CAFFO MARCO  </t>
  </si>
  <si>
    <t>LP8524 /Mertert Mosolf</t>
  </si>
  <si>
    <t>Plt BW</t>
  </si>
  <si>
    <t>TRLP672 / Mertert</t>
  </si>
  <si>
    <t xml:space="preserve">RESCHKE THOMAS   </t>
  </si>
  <si>
    <t>TRLP673 / Mertert</t>
  </si>
  <si>
    <t xml:space="preserve">FRESSE DAVID  </t>
  </si>
  <si>
    <t xml:space="preserve">LP8850   / steht in Cessange </t>
  </si>
  <si>
    <t>Tele ex German</t>
  </si>
  <si>
    <t xml:space="preserve">HELTEMES ROBERT </t>
  </si>
  <si>
    <t xml:space="preserve">LP8855   / steht in Cessange </t>
  </si>
  <si>
    <t>LP8860  / steht in  Cessange</t>
  </si>
  <si>
    <t>Tele</t>
  </si>
  <si>
    <t xml:space="preserve">IALLONARDO RICHARD </t>
  </si>
  <si>
    <t>LP8523  / Cessange</t>
  </si>
  <si>
    <t>Plt</t>
  </si>
  <si>
    <t>LP8862 / Cessange</t>
  </si>
  <si>
    <t>Plat OBW</t>
  </si>
  <si>
    <t xml:space="preserve">KUNICNIKOV VLADIMIR </t>
  </si>
  <si>
    <t>LP8710 / Steht in Cessange</t>
  </si>
  <si>
    <t>über die Feiertage in Cessange</t>
  </si>
  <si>
    <t xml:space="preserve">CHASEY FABRICE  </t>
  </si>
  <si>
    <t xml:space="preserve">SCIASCIA CHRISTOPHE  </t>
  </si>
  <si>
    <t>LP7883  / AMCLE</t>
  </si>
  <si>
    <t>COIL / BEI AMCLE</t>
  </si>
  <si>
    <t xml:space="preserve">LP8501  </t>
  </si>
  <si>
    <t xml:space="preserve">VIEHWEGER JENS   </t>
  </si>
  <si>
    <t>LP8710</t>
  </si>
  <si>
    <t xml:space="preserve">LP8535 </t>
  </si>
  <si>
    <t xml:space="preserve">DIALLO AMADOU </t>
  </si>
  <si>
    <t xml:space="preserve">GERLACH INGOLF  </t>
  </si>
  <si>
    <t xml:space="preserve">PETITPRETZ DANIEL   </t>
  </si>
  <si>
    <t xml:space="preserve">COULIBALY NOUMORY </t>
  </si>
  <si>
    <t>Plateau Ohne Bordwand mit Genehmigung</t>
  </si>
  <si>
    <t xml:space="preserve">DUSCHL REINHOLD </t>
  </si>
  <si>
    <t>Dauerkranke:</t>
  </si>
  <si>
    <t xml:space="preserve">DHOUL-MADJIDI  ALI    </t>
  </si>
  <si>
    <t xml:space="preserve">FRESE UWE   </t>
  </si>
  <si>
    <t>LOPES FERNANDO Cellus</t>
  </si>
  <si>
    <t xml:space="preserve">MINNEBECK Denis  </t>
  </si>
  <si>
    <t xml:space="preserve">KEUCHEL FRANK  </t>
  </si>
  <si>
    <t>ABUCEWICZ CHRISTOPH</t>
  </si>
  <si>
    <t>LP8524 --&gt; TELE</t>
  </si>
  <si>
    <t xml:space="preserve">ALTRINGER MARKUS </t>
  </si>
  <si>
    <t xml:space="preserve">SCHARIPOW OLEG </t>
  </si>
  <si>
    <t>LP5075</t>
  </si>
  <si>
    <t xml:space="preserve">DEFOY ANTOINE  </t>
  </si>
  <si>
    <t xml:space="preserve">BOMBLED DAVID  </t>
  </si>
  <si>
    <t>DEIMUNDT Andrei</t>
  </si>
  <si>
    <t xml:space="preserve">LP8852  </t>
  </si>
  <si>
    <t>UWE FRESE</t>
  </si>
  <si>
    <t>LP3538</t>
  </si>
  <si>
    <t xml:space="preserve">COHEN BRUNO   </t>
  </si>
  <si>
    <t xml:space="preserve">ZÜBROW  WILLI   </t>
  </si>
  <si>
    <t xml:space="preserve">ALKEN SASCHA  </t>
  </si>
  <si>
    <t>NITA IONUT</t>
  </si>
  <si>
    <t>LP8715-&gt; TR-LP672</t>
  </si>
  <si>
    <t>QATJ011</t>
  </si>
  <si>
    <t>PERREIRA JOSE  NATIONAL</t>
  </si>
  <si>
    <t>PZ6983</t>
  </si>
  <si>
    <t>PZ6982</t>
  </si>
  <si>
    <t xml:space="preserve">VON DER WEIDE DAVID  </t>
  </si>
  <si>
    <t>KIP</t>
  </si>
  <si>
    <t>LP6214/LP8522</t>
  </si>
  <si>
    <t>Benni Tele:</t>
  </si>
  <si>
    <t>LP85084</t>
  </si>
  <si>
    <t xml:space="preserve">German : </t>
  </si>
  <si>
    <t>Tele Ohne Zgm</t>
  </si>
  <si>
    <t xml:space="preserve">LP8859   </t>
  </si>
  <si>
    <t>Potenzielle TELE LKW :</t>
  </si>
  <si>
    <t>LP3203 Antonio LP8858</t>
  </si>
  <si>
    <t>aenderung zuteilung :</t>
  </si>
  <si>
    <t>LP8850</t>
  </si>
  <si>
    <t>LP2625 Gerlach  LP5086!!!</t>
  </si>
  <si>
    <t>Genemigung</t>
  </si>
  <si>
    <t xml:space="preserve">Ersatz : </t>
  </si>
  <si>
    <t xml:space="preserve">LP8855  </t>
  </si>
  <si>
    <t>Nostrada</t>
  </si>
  <si>
    <t>LP8860 griffin</t>
  </si>
  <si>
    <t>TRLP670</t>
  </si>
  <si>
    <t>Mertert ???</t>
  </si>
  <si>
    <t>TRLP674</t>
  </si>
  <si>
    <t>Hoffmann neu</t>
  </si>
  <si>
    <t>TRLP676</t>
  </si>
  <si>
    <t>trier</t>
  </si>
  <si>
    <t>Kennzeichen</t>
  </si>
  <si>
    <t>Parkplatz</t>
  </si>
  <si>
    <t>Abteilung/Fester LKW</t>
  </si>
  <si>
    <t>Eigentlich zugeteilte ZGM</t>
  </si>
  <si>
    <t>TRLP677</t>
  </si>
  <si>
    <t>DOHT939</t>
  </si>
  <si>
    <t>David Fresse</t>
  </si>
  <si>
    <t>TRLP678</t>
  </si>
  <si>
    <t>Telesattel UNGELENKT</t>
  </si>
  <si>
    <t>Harmand Didier</t>
  </si>
  <si>
    <t>TRLP679</t>
  </si>
  <si>
    <t>Strasse</t>
  </si>
  <si>
    <t>Mosel</t>
  </si>
  <si>
    <t>Espel Jean Denis</t>
  </si>
  <si>
    <t>Telesattel Mega Ungelenkt</t>
  </si>
  <si>
    <t>Terwange Francois</t>
  </si>
  <si>
    <t>Bastien Eric</t>
  </si>
  <si>
    <t>TRLP671</t>
  </si>
  <si>
    <t>TONI</t>
  </si>
  <si>
    <t>Kunicnikov Vladimir</t>
  </si>
  <si>
    <t>TRLP672</t>
  </si>
  <si>
    <t xml:space="preserve">Tautliner      </t>
  </si>
  <si>
    <t>Cellson Luis Casulle</t>
  </si>
  <si>
    <t xml:space="preserve">Tautliner    </t>
  </si>
  <si>
    <t>Simic Nicolas</t>
  </si>
  <si>
    <t>LP8711</t>
  </si>
  <si>
    <t xml:space="preserve">Tautliner </t>
  </si>
  <si>
    <t>Viehweger Jens</t>
  </si>
  <si>
    <t>Freie Taut :</t>
  </si>
  <si>
    <t>Tautliner</t>
  </si>
  <si>
    <t xml:space="preserve">Benni/Basti/SA </t>
  </si>
  <si>
    <t>TRLP673</t>
  </si>
  <si>
    <t>Coulibaly Noumory</t>
  </si>
  <si>
    <t>Alken Sascha</t>
  </si>
  <si>
    <t xml:space="preserve">LP7885 </t>
  </si>
  <si>
    <t>Hoffmann/Neu</t>
  </si>
  <si>
    <t>Bier Menn</t>
  </si>
  <si>
    <t>Taultiner</t>
  </si>
  <si>
    <t>Dechamps Didier</t>
  </si>
  <si>
    <t>Schaumlöffel Markus</t>
  </si>
  <si>
    <t>Cohen Bruno</t>
  </si>
  <si>
    <t>Plateau Ohne BW o.S</t>
  </si>
  <si>
    <t>SKYLINER !</t>
  </si>
  <si>
    <t>(Lopes Fernando)</t>
  </si>
  <si>
    <t>????????</t>
  </si>
  <si>
    <t>Plateau OBW m. Schildern</t>
  </si>
  <si>
    <t>Oufrigh, Mohamed</t>
  </si>
  <si>
    <t>Sequaire Nelson</t>
  </si>
  <si>
    <t>Plateau BW</t>
  </si>
  <si>
    <t>Mosolf Roland</t>
  </si>
  <si>
    <t>(Sergeij Piliptschuck)</t>
  </si>
  <si>
    <t>(Diallo Amadou)</t>
  </si>
  <si>
    <t>Chasey Fabrice</t>
  </si>
  <si>
    <t>Frei</t>
  </si>
  <si>
    <t>Plateau Bordwand</t>
  </si>
  <si>
    <t>Nita Ionut</t>
  </si>
  <si>
    <t>Gerlach Ingo</t>
  </si>
  <si>
    <t>TRD593</t>
  </si>
  <si>
    <t>Koffer</t>
  </si>
  <si>
    <t>Vor Garage</t>
  </si>
  <si>
    <t>LP6213</t>
  </si>
  <si>
    <t>Garage</t>
  </si>
  <si>
    <t>LP6214</t>
  </si>
  <si>
    <t>Perreia Jose</t>
  </si>
  <si>
    <t>Kipper</t>
  </si>
  <si>
    <t>Coilmulde</t>
  </si>
  <si>
    <t>Penner Jakob</t>
  </si>
  <si>
    <t>Pudelko Uwe</t>
  </si>
  <si>
    <t>2x Tele</t>
  </si>
  <si>
    <t>Colantonio Carlo</t>
  </si>
  <si>
    <t>Heltemes, Robert</t>
  </si>
  <si>
    <t>Keuchel Frank</t>
  </si>
  <si>
    <t>Reschke Thomas</t>
  </si>
  <si>
    <t>Ziebarth Alexander</t>
  </si>
  <si>
    <t>Haier Michael</t>
  </si>
  <si>
    <t>Iallonardo Richard</t>
  </si>
  <si>
    <t>Minnebeck Dennis</t>
  </si>
  <si>
    <t>Romao Francisco</t>
  </si>
  <si>
    <t>Caffo Marco</t>
  </si>
  <si>
    <t>Mathe Guillaume</t>
  </si>
  <si>
    <t>Schmitt Alex</t>
  </si>
  <si>
    <t>Luthun, Christophe</t>
  </si>
  <si>
    <t>Fresse, David</t>
  </si>
  <si>
    <t>1x Tele Gelenkt</t>
  </si>
  <si>
    <t>Sfar Frank</t>
  </si>
  <si>
    <t>Muniz Azeveco Diogenes</t>
  </si>
  <si>
    <t>Sciascia Christoph</t>
  </si>
  <si>
    <t>Abuseviz Chrisoph</t>
  </si>
  <si>
    <t>LP8852</t>
  </si>
  <si>
    <t>Wollmann Holger</t>
  </si>
  <si>
    <t>Bombled David</t>
  </si>
  <si>
    <t>Scharipow Oleg</t>
  </si>
  <si>
    <t>Chretien Samuel</t>
  </si>
  <si>
    <t>Brunz Andreas</t>
  </si>
  <si>
    <t>Kerkelov Krasimir</t>
  </si>
  <si>
    <t>Harmand Lorenzo</t>
  </si>
  <si>
    <t>Lir Christian</t>
  </si>
  <si>
    <t>Tebly, Gnabo</t>
  </si>
  <si>
    <t>Frese Uwe</t>
  </si>
  <si>
    <t>Vesely Ludek</t>
  </si>
  <si>
    <t>Duschl Reini</t>
  </si>
  <si>
    <t>Teixeira Cruz</t>
  </si>
  <si>
    <t>Beaumann Sylvain</t>
  </si>
  <si>
    <t>Feireira David</t>
  </si>
  <si>
    <t>Laurent Yohann</t>
  </si>
  <si>
    <t>Birckel Mathis</t>
  </si>
  <si>
    <t>LP8860</t>
  </si>
  <si>
    <t>Defoy Antoine</t>
  </si>
  <si>
    <t>Lambert Ludo</t>
  </si>
  <si>
    <t>Petitpretz Daniel</t>
  </si>
  <si>
    <t>Schulte Maik</t>
  </si>
  <si>
    <t>AMCLE</t>
  </si>
  <si>
    <t>LP8017</t>
  </si>
  <si>
    <t xml:space="preserve">Tautliner ALT </t>
  </si>
  <si>
    <t>Hoffmann Neu</t>
  </si>
  <si>
    <t>Benni ???</t>
  </si>
  <si>
    <t>ABGEMELDET</t>
  </si>
  <si>
    <t>????</t>
  </si>
  <si>
    <t>LP6211</t>
  </si>
  <si>
    <t>???</t>
  </si>
  <si>
    <t>Tauliner</t>
  </si>
  <si>
    <t>??</t>
  </si>
  <si>
    <t>Coilmule</t>
  </si>
  <si>
    <t xml:space="preserve">Toni </t>
  </si>
  <si>
    <t>kurze Coimulde</t>
  </si>
  <si>
    <t xml:space="preserve">? Dennis ? </t>
  </si>
  <si>
    <t xml:space="preserve">NOSTRADA! </t>
  </si>
  <si>
    <t>Offener oBw</t>
  </si>
  <si>
    <t>QATK158</t>
  </si>
  <si>
    <t>Doppelstock Frigo</t>
  </si>
  <si>
    <t>Hoffmann Mertert</t>
  </si>
  <si>
    <t>QATH711</t>
  </si>
  <si>
    <t>noch BTG</t>
  </si>
  <si>
    <t>BERUFSKRAFTFAHRER</t>
  </si>
  <si>
    <t>Nr</t>
  </si>
  <si>
    <t>Name</t>
  </si>
  <si>
    <t>Vorname</t>
  </si>
  <si>
    <t>Geburtstag</t>
  </si>
  <si>
    <t>Alter</t>
  </si>
  <si>
    <t>Eintritt</t>
  </si>
  <si>
    <t>Dienstjahre</t>
  </si>
  <si>
    <t>%</t>
  </si>
  <si>
    <t>Austritt</t>
  </si>
  <si>
    <t>Bemerkung</t>
  </si>
  <si>
    <t>ALKEN</t>
  </si>
  <si>
    <t>Sascha</t>
  </si>
  <si>
    <t>ABUCEWICZ</t>
  </si>
  <si>
    <t>Christophe</t>
  </si>
  <si>
    <t>ALTRINGER</t>
  </si>
  <si>
    <t>Markus</t>
  </si>
  <si>
    <t>BALAZS</t>
  </si>
  <si>
    <t>Zoltàn</t>
  </si>
  <si>
    <t>BASTIEN</t>
  </si>
  <si>
    <t>Eric</t>
  </si>
  <si>
    <t>Laut Fahrer 2026 in rente</t>
  </si>
  <si>
    <t>BEAUMANN</t>
  </si>
  <si>
    <t>Sylvain</t>
  </si>
  <si>
    <t>BIER</t>
  </si>
  <si>
    <t>Matthias</t>
  </si>
  <si>
    <t>BIRCKEL</t>
  </si>
  <si>
    <t>Mathis</t>
  </si>
  <si>
    <t>BOMBLED</t>
  </si>
  <si>
    <t>David</t>
  </si>
  <si>
    <t>BRUNZ</t>
  </si>
  <si>
    <t>Andreas</t>
  </si>
  <si>
    <t>CAFFO</t>
  </si>
  <si>
    <t>Marco</t>
  </si>
  <si>
    <t xml:space="preserve">CASSULE </t>
  </si>
  <si>
    <t>Celson</t>
  </si>
  <si>
    <t>CHASEY</t>
  </si>
  <si>
    <t>Fabrice</t>
  </si>
  <si>
    <t>CHRETIEN</t>
  </si>
  <si>
    <t>Samuel</t>
  </si>
  <si>
    <t>COHEN</t>
  </si>
  <si>
    <t>Bruno</t>
  </si>
  <si>
    <t>COLANTONIO</t>
  </si>
  <si>
    <t>Carlo</t>
  </si>
  <si>
    <t>COULIBALY BAGAYOKO</t>
  </si>
  <si>
    <t>Noumory</t>
  </si>
  <si>
    <t>DECHAMPS</t>
  </si>
  <si>
    <t>Didier</t>
  </si>
  <si>
    <t>DEFOY</t>
  </si>
  <si>
    <t>Antoine</t>
  </si>
  <si>
    <t>DEIMUNDT</t>
  </si>
  <si>
    <t>Andrei</t>
  </si>
  <si>
    <t>DHOUL-MADJIDI</t>
  </si>
  <si>
    <t>Ali</t>
  </si>
  <si>
    <t>DIALLO</t>
  </si>
  <si>
    <t>Amadou</t>
  </si>
  <si>
    <t>DOS SANTOS</t>
  </si>
  <si>
    <t>Antonio</t>
  </si>
  <si>
    <t>DUSCHL</t>
  </si>
  <si>
    <t>Reinhold</t>
  </si>
  <si>
    <t>ESPEL</t>
  </si>
  <si>
    <t>Jean Denis</t>
  </si>
  <si>
    <t>FERREIRA RIBEIRO</t>
  </si>
  <si>
    <t>Nationaler Verkehr</t>
  </si>
  <si>
    <t>FRESE</t>
  </si>
  <si>
    <t>Uwe</t>
  </si>
  <si>
    <t>LANGZEITKRANK rückkehr ?</t>
  </si>
  <si>
    <t>FRESSE</t>
  </si>
  <si>
    <t>FOTUE</t>
  </si>
  <si>
    <t>Justin</t>
  </si>
  <si>
    <t>GERLACH</t>
  </si>
  <si>
    <t>Ingolf Siegfried</t>
  </si>
  <si>
    <t>GONCALVES MAGALHAES</t>
  </si>
  <si>
    <t>Antonio Domingos</t>
  </si>
  <si>
    <t>HAIER</t>
  </si>
  <si>
    <t>Michael</t>
  </si>
  <si>
    <t>HARMAND</t>
  </si>
  <si>
    <t>Lorenzo</t>
  </si>
  <si>
    <t>HANKE</t>
  </si>
  <si>
    <t>Marcus</t>
  </si>
  <si>
    <t>HELTEMES</t>
  </si>
  <si>
    <t>Robert</t>
  </si>
  <si>
    <t>IALLONARDO</t>
  </si>
  <si>
    <t>Richard</t>
  </si>
  <si>
    <t>KABORE</t>
  </si>
  <si>
    <t>Aimee</t>
  </si>
  <si>
    <t>KAZARYAN</t>
  </si>
  <si>
    <t>Roman</t>
  </si>
  <si>
    <t>KERKELOV</t>
  </si>
  <si>
    <t>Krasimir</t>
  </si>
  <si>
    <t>KEUCHEL</t>
  </si>
  <si>
    <t>Frank</t>
  </si>
  <si>
    <t>KUNICNIKOV</t>
  </si>
  <si>
    <t>Vladimir</t>
  </si>
  <si>
    <t>LAMBERT</t>
  </si>
  <si>
    <t>Ludo Robert</t>
  </si>
  <si>
    <t>LARIN</t>
  </si>
  <si>
    <t>Oleg</t>
  </si>
  <si>
    <t>LAURENT</t>
  </si>
  <si>
    <t>Yoann</t>
  </si>
  <si>
    <t>LIR</t>
  </si>
  <si>
    <t>Christian</t>
  </si>
  <si>
    <t>LOPES DA SILVA</t>
  </si>
  <si>
    <t>Antonio Fern.</t>
  </si>
  <si>
    <t>VESELY</t>
  </si>
  <si>
    <t>Ludek</t>
  </si>
  <si>
    <t>LUTHUN</t>
  </si>
  <si>
    <t>MATHE</t>
  </si>
  <si>
    <t>Guillaume</t>
  </si>
  <si>
    <t>MINNEBECK</t>
  </si>
  <si>
    <t>Denis Rainer</t>
  </si>
  <si>
    <t>MOSIG</t>
  </si>
  <si>
    <t>Mario</t>
  </si>
  <si>
    <t>MOSOLF</t>
  </si>
  <si>
    <t>Roland Jürgen</t>
  </si>
  <si>
    <t>MUNIZ AZEVEDO</t>
  </si>
  <si>
    <t>Diogenes</t>
  </si>
  <si>
    <t>NITA</t>
  </si>
  <si>
    <t>Ionut</t>
  </si>
  <si>
    <t>OUFRIGH</t>
  </si>
  <si>
    <t>Mohamed</t>
  </si>
  <si>
    <t>PENNER</t>
  </si>
  <si>
    <t>Jakob</t>
  </si>
  <si>
    <t>PEREIRA TAVARES</t>
  </si>
  <si>
    <t>Jose</t>
  </si>
  <si>
    <t>Nationaler Verkehr / Laut Fahrer 2026 in rente</t>
  </si>
  <si>
    <t>PETITPRETZ</t>
  </si>
  <si>
    <t>Daniel</t>
  </si>
  <si>
    <t>PILIPTSCHUK</t>
  </si>
  <si>
    <t>Sergej</t>
  </si>
  <si>
    <t>PUDELKO</t>
  </si>
  <si>
    <t>RESCHKE</t>
  </si>
  <si>
    <t>Thomas</t>
  </si>
  <si>
    <t>ROMAO ESGAIA</t>
  </si>
  <si>
    <t>Francisco</t>
  </si>
  <si>
    <t>SCHARIPOW</t>
  </si>
  <si>
    <t>SCHAUMLÖFFEL</t>
  </si>
  <si>
    <t>SCHMIDT</t>
  </si>
  <si>
    <t>Alexander</t>
  </si>
  <si>
    <t>SCHULTE</t>
  </si>
  <si>
    <t>Maik</t>
  </si>
  <si>
    <t>SCIASCIA</t>
  </si>
  <si>
    <t>SEQUEIRA MOIA OLIVEIRA</t>
  </si>
  <si>
    <t>Nelson</t>
  </si>
  <si>
    <t>SFAR</t>
  </si>
  <si>
    <t>SIMIC</t>
  </si>
  <si>
    <t>Nicolas</t>
  </si>
  <si>
    <t>TEBLY</t>
  </si>
  <si>
    <t>Gnabo</t>
  </si>
  <si>
    <t>TERWAGNE</t>
  </si>
  <si>
    <t>Francois Andre</t>
  </si>
  <si>
    <t>TEXEIRA DA CRUZ</t>
  </si>
  <si>
    <t>Joao Augusto</t>
  </si>
  <si>
    <t>VIEHWEGER</t>
  </si>
  <si>
    <t>Jens</t>
  </si>
  <si>
    <t>VON DER WEIDE</t>
  </si>
  <si>
    <t>WIESSNER</t>
  </si>
  <si>
    <t>WOLLMANN</t>
  </si>
  <si>
    <t>Holger Jochen</t>
  </si>
  <si>
    <t>ZIEBARTH</t>
  </si>
  <si>
    <t>ZUEBRO</t>
  </si>
  <si>
    <t>Willi</t>
  </si>
  <si>
    <t>BEGLEIT-/SPRINTER-FAHRER</t>
  </si>
  <si>
    <t>HABSCHEID</t>
  </si>
  <si>
    <t>Alex</t>
  </si>
  <si>
    <t>0,5</t>
  </si>
  <si>
    <t>GUTH</t>
  </si>
  <si>
    <t>Eintritt CE 02.07.2007</t>
  </si>
  <si>
    <t>HUKIC</t>
  </si>
  <si>
    <t>Armin</t>
  </si>
  <si>
    <t>Mathias</t>
  </si>
  <si>
    <t>GOFFIN</t>
  </si>
  <si>
    <t>Yves</t>
  </si>
  <si>
    <t>HUKIC??</t>
  </si>
  <si>
    <t>Jahr</t>
  </si>
  <si>
    <t>Quartal</t>
  </si>
  <si>
    <t>Fahrer IST</t>
  </si>
  <si>
    <t>Fahrer SOLL</t>
  </si>
  <si>
    <t>Bedarf</t>
  </si>
  <si>
    <t>Aktiv</t>
  </si>
  <si>
    <t>U60</t>
  </si>
  <si>
    <t>Langzeitkrank</t>
  </si>
  <si>
    <t>Potenzielle Rente</t>
  </si>
  <si>
    <t>SZM</t>
  </si>
  <si>
    <t>Q1</t>
  </si>
  <si>
    <t>Q2</t>
  </si>
  <si>
    <t>Q3</t>
  </si>
  <si>
    <t>Q4</t>
  </si>
  <si>
    <t>OLEG</t>
  </si>
  <si>
    <t>Luis</t>
  </si>
  <si>
    <t>Celson Cassule</t>
  </si>
  <si>
    <t>Larin</t>
  </si>
  <si>
    <t>FOTUE SOKOUDJOU</t>
  </si>
  <si>
    <t>Dirk</t>
  </si>
  <si>
    <t>MELCHIORS</t>
  </si>
  <si>
    <t>MINNEBECJ</t>
  </si>
  <si>
    <t>Nom</t>
  </si>
  <si>
    <t>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</si>
</sst>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D7D3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theme="2"/>
      </right>
      <top/>
      <bottom style="thin">
        <color theme="2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20" fillId="0" borderId="0" applyNumberFormat="0" applyFill="0" applyBorder="0" applyAlignment="0" applyProtection="0"/>
  </cellStyleXfs>
  <cellXfs count="18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2" borderId="1" xfId="1" applyFill="1" applyBorder="1" applyAlignment="1">
      <alignment horizontal="center"/>
    </xf>
    <xf numFmtId="0" fontId="3" fillId="0" borderId="1" xfId="1" applyBorder="1"/>
    <xf numFmtId="0" fontId="4" fillId="0" borderId="1" xfId="0" applyFont="1" applyBorder="1"/>
    <xf numFmtId="0" fontId="5" fillId="0" borderId="1" xfId="1" applyFont="1" applyBorder="1"/>
    <xf numFmtId="0" fontId="1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3" fillId="3" borderId="1" xfId="1" applyFill="1" applyBorder="1" applyAlignment="1">
      <alignment horizontal="center"/>
    </xf>
    <xf numFmtId="0" fontId="11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9" fillId="5" borderId="2" xfId="0" applyFont="1" applyFill="1" applyBorder="1"/>
    <xf numFmtId="0" fontId="8" fillId="0" borderId="2" xfId="0" applyFont="1" applyBorder="1"/>
    <xf numFmtId="0" fontId="9" fillId="4" borderId="2" xfId="0" applyFont="1" applyFill="1" applyBorder="1"/>
    <xf numFmtId="0" fontId="9" fillId="2" borderId="2" xfId="0" applyFont="1" applyFill="1" applyBorder="1"/>
    <xf numFmtId="0" fontId="9" fillId="6" borderId="3" xfId="0" applyFont="1" applyFill="1" applyBorder="1"/>
    <xf numFmtId="0" fontId="9" fillId="6" borderId="4" xfId="0" applyFont="1" applyFill="1" applyBorder="1"/>
    <xf numFmtId="0" fontId="10" fillId="6" borderId="4" xfId="0" applyFont="1" applyFill="1" applyBorder="1"/>
    <xf numFmtId="0" fontId="0" fillId="6" borderId="5" xfId="0" applyFill="1" applyBorder="1"/>
    <xf numFmtId="0" fontId="9" fillId="0" borderId="6" xfId="0" applyFont="1" applyBorder="1"/>
    <xf numFmtId="0" fontId="8" fillId="0" borderId="7" xfId="0" applyFont="1" applyBorder="1"/>
    <xf numFmtId="0" fontId="9" fillId="0" borderId="7" xfId="0" applyFont="1" applyBorder="1"/>
    <xf numFmtId="0" fontId="0" fillId="0" borderId="7" xfId="0" applyBorder="1"/>
    <xf numFmtId="0" fontId="0" fillId="0" borderId="9" xfId="0" applyBorder="1"/>
    <xf numFmtId="0" fontId="12" fillId="0" borderId="2" xfId="0" applyFont="1" applyBorder="1"/>
    <xf numFmtId="0" fontId="0" fillId="7" borderId="0" xfId="0" applyFill="1"/>
    <xf numFmtId="0" fontId="9" fillId="0" borderId="10" xfId="0" applyFont="1" applyBorder="1"/>
    <xf numFmtId="0" fontId="9" fillId="0" borderId="4" xfId="0" applyFont="1" applyBorder="1"/>
    <xf numFmtId="0" fontId="0" fillId="0" borderId="2" xfId="0" applyBorder="1"/>
    <xf numFmtId="0" fontId="8" fillId="0" borderId="0" xfId="0" applyFont="1"/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9" borderId="0" xfId="0" applyFill="1"/>
    <xf numFmtId="0" fontId="9" fillId="4" borderId="7" xfId="0" applyFont="1" applyFill="1" applyBorder="1"/>
    <xf numFmtId="0" fontId="16" fillId="0" borderId="2" xfId="0" applyFont="1" applyBorder="1"/>
    <xf numFmtId="0" fontId="15" fillId="0" borderId="2" xfId="0" applyFont="1" applyBorder="1"/>
    <xf numFmtId="0" fontId="17" fillId="0" borderId="2" xfId="0" applyFont="1" applyBorder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9" fillId="10" borderId="2" xfId="0" applyFont="1" applyFill="1" applyBorder="1"/>
    <xf numFmtId="0" fontId="0" fillId="10" borderId="0" xfId="0" applyFill="1"/>
    <xf numFmtId="0" fontId="19" fillId="0" borderId="0" xfId="0" applyFont="1"/>
    <xf numFmtId="0" fontId="19" fillId="10" borderId="0" xfId="0" applyFont="1" applyFill="1"/>
    <xf numFmtId="0" fontId="15" fillId="9" borderId="2" xfId="0" applyFont="1" applyFill="1" applyBorder="1"/>
    <xf numFmtId="0" fontId="0" fillId="4" borderId="0" xfId="0" applyFill="1"/>
    <xf numFmtId="0" fontId="9" fillId="2" borderId="0" xfId="0" applyFont="1" applyFill="1"/>
    <xf numFmtId="0" fontId="14" fillId="0" borderId="0" xfId="0" applyFont="1"/>
    <xf numFmtId="16" fontId="11" fillId="0" borderId="0" xfId="0" applyNumberFormat="1" applyFont="1"/>
    <xf numFmtId="16" fontId="11" fillId="0" borderId="0" xfId="0" applyNumberFormat="1" applyFont="1" applyAlignment="1">
      <alignment horizontal="right"/>
    </xf>
    <xf numFmtId="14" fontId="11" fillId="0" borderId="0" xfId="0" applyNumberFormat="1" applyFont="1"/>
    <xf numFmtId="0" fontId="0" fillId="8" borderId="0" xfId="0" applyFill="1"/>
    <xf numFmtId="0" fontId="15" fillId="0" borderId="10" xfId="0" applyFont="1" applyBorder="1"/>
    <xf numFmtId="0" fontId="0" fillId="0" borderId="8" xfId="0" applyBorder="1"/>
    <xf numFmtId="0" fontId="9" fillId="0" borderId="8" xfId="0" applyFont="1" applyBorder="1"/>
    <xf numFmtId="0" fontId="13" fillId="0" borderId="8" xfId="0" applyFont="1" applyBorder="1"/>
    <xf numFmtId="0" fontId="8" fillId="2" borderId="0" xfId="0" applyFont="1" applyFill="1"/>
    <xf numFmtId="0" fontId="10" fillId="0" borderId="10" xfId="0" applyFont="1" applyBorder="1"/>
    <xf numFmtId="0" fontId="18" fillId="0" borderId="2" xfId="0" applyFont="1" applyBorder="1"/>
    <xf numFmtId="0" fontId="18" fillId="0" borderId="0" xfId="0" applyFont="1"/>
    <xf numFmtId="0" fontId="9" fillId="0" borderId="14" xfId="0" applyFont="1" applyBorder="1"/>
    <xf numFmtId="0" fontId="8" fillId="0" borderId="10" xfId="0" applyFont="1" applyBorder="1"/>
    <xf numFmtId="0" fontId="15" fillId="10" borderId="2" xfId="0" applyFont="1" applyFill="1" applyBorder="1"/>
    <xf numFmtId="0" fontId="12" fillId="0" borderId="0" xfId="0" applyFont="1"/>
    <xf numFmtId="20" fontId="0" fillId="0" borderId="0" xfId="0" applyNumberFormat="1"/>
    <xf numFmtId="20" fontId="0" fillId="0" borderId="0" xfId="0" applyNumberFormat="1" applyAlignment="1">
      <alignment horizontal="right"/>
    </xf>
    <xf numFmtId="0" fontId="11" fillId="0" borderId="0" xfId="0" applyFont="1"/>
    <xf numFmtId="0" fontId="13" fillId="0" borderId="0" xfId="0" applyFont="1"/>
    <xf numFmtId="0" fontId="21" fillId="0" borderId="2" xfId="0" applyFont="1" applyBorder="1"/>
    <xf numFmtId="0" fontId="12" fillId="2" borderId="2" xfId="0" applyFont="1" applyFill="1" applyBorder="1"/>
    <xf numFmtId="0" fontId="10" fillId="0" borderId="12" xfId="0" applyFont="1" applyBorder="1"/>
    <xf numFmtId="0" fontId="9" fillId="5" borderId="10" xfId="0" applyFont="1" applyFill="1" applyBorder="1"/>
    <xf numFmtId="0" fontId="12" fillId="0" borderId="10" xfId="0" applyFont="1" applyBorder="1"/>
    <xf numFmtId="0" fontId="12" fillId="4" borderId="2" xfId="0" applyFont="1" applyFill="1" applyBorder="1"/>
    <xf numFmtId="0" fontId="9" fillId="9" borderId="6" xfId="0" applyFont="1" applyFill="1" applyBorder="1"/>
    <xf numFmtId="0" fontId="9" fillId="9" borderId="11" xfId="0" applyFont="1" applyFill="1" applyBorder="1"/>
    <xf numFmtId="0" fontId="9" fillId="7" borderId="6" xfId="0" applyFont="1" applyFill="1" applyBorder="1"/>
    <xf numFmtId="0" fontId="9" fillId="4" borderId="6" xfId="0" applyFont="1" applyFill="1" applyBorder="1"/>
    <xf numFmtId="0" fontId="9" fillId="4" borderId="11" xfId="0" applyFont="1" applyFill="1" applyBorder="1"/>
    <xf numFmtId="0" fontId="9" fillId="7" borderId="11" xfId="0" applyFont="1" applyFill="1" applyBorder="1"/>
    <xf numFmtId="0" fontId="15" fillId="4" borderId="2" xfId="0" applyFont="1" applyFill="1" applyBorder="1"/>
    <xf numFmtId="0" fontId="9" fillId="11" borderId="2" xfId="0" applyFont="1" applyFill="1" applyBorder="1"/>
    <xf numFmtId="0" fontId="12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22" fillId="0" borderId="0" xfId="0" applyFont="1"/>
    <xf numFmtId="0" fontId="23" fillId="0" borderId="1" xfId="0" applyFont="1" applyBorder="1" applyAlignment="1">
      <alignment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24" fillId="12" borderId="10" xfId="0" applyFont="1" applyFill="1" applyBorder="1" applyAlignment="1" applyProtection="1">
      <alignment horizontal="center" vertical="center"/>
      <protection locked="0"/>
    </xf>
    <xf numFmtId="0" fontId="24" fillId="12" borderId="10" xfId="0" applyFont="1" applyFill="1" applyBorder="1" applyAlignment="1">
      <alignment horizontal="center" vertical="center"/>
    </xf>
    <xf numFmtId="0" fontId="24" fillId="12" borderId="10" xfId="0" applyFont="1" applyFill="1" applyBorder="1" applyAlignment="1" applyProtection="1">
      <alignment horizontal="left" vertical="center"/>
      <protection locked="0"/>
    </xf>
    <xf numFmtId="0" fontId="2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22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16" xfId="0" applyFont="1" applyBorder="1"/>
    <xf numFmtId="0" fontId="22" fillId="0" borderId="16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/>
    <xf numFmtId="0" fontId="22" fillId="0" borderId="17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0" fillId="0" borderId="0" xfId="3" applyAlignment="1">
      <alignment vertical="center"/>
    </xf>
    <xf numFmtId="16" fontId="22" fillId="0" borderId="17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24" fillId="4" borderId="2" xfId="0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vertical="center"/>
    </xf>
    <xf numFmtId="14" fontId="24" fillId="4" borderId="2" xfId="0" applyNumberFormat="1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 applyProtection="1">
      <alignment vertical="center"/>
      <protection locked="0"/>
    </xf>
    <xf numFmtId="14" fontId="22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1" fontId="25" fillId="0" borderId="2" xfId="0" applyNumberFormat="1" applyFont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1" fontId="25" fillId="0" borderId="19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6" xfId="0" applyBorder="1" applyAlignment="1">
      <alignment horizontal="right"/>
    </xf>
    <xf numFmtId="0" fontId="12" fillId="0" borderId="4" xfId="0" applyFont="1" applyBorder="1"/>
    <xf numFmtId="0" fontId="1" fillId="10" borderId="0" xfId="0" applyFont="1" applyFill="1"/>
    <xf numFmtId="0" fontId="17" fillId="0" borderId="4" xfId="0" applyFont="1" applyBorder="1"/>
    <xf numFmtId="0" fontId="0" fillId="0" borderId="1" xfId="0" applyBorder="1" applyAlignment="1">
      <alignment horizontal="center"/>
    </xf>
    <xf numFmtId="0" fontId="8" fillId="4" borderId="2" xfId="0" applyFont="1" applyFill="1" applyBorder="1"/>
    <xf numFmtId="0" fontId="16" fillId="4" borderId="2" xfId="0" applyFont="1" applyFill="1" applyBorder="1"/>
    <xf numFmtId="0" fontId="21" fillId="4" borderId="2" xfId="0" applyFont="1" applyFill="1" applyBorder="1"/>
    <xf numFmtId="0" fontId="8" fillId="4" borderId="7" xfId="0" applyFont="1" applyFill="1" applyBorder="1"/>
    <xf numFmtId="0" fontId="21" fillId="10" borderId="2" xfId="0" applyFont="1" applyFill="1" applyBorder="1"/>
    <xf numFmtId="0" fontId="17" fillId="4" borderId="2" xfId="0" applyFont="1" applyFill="1" applyBorder="1"/>
    <xf numFmtId="0" fontId="1" fillId="0" borderId="2" xfId="0" applyFont="1" applyBorder="1"/>
    <xf numFmtId="0" fontId="8" fillId="0" borderId="4" xfId="0" applyFont="1" applyBorder="1"/>
    <xf numFmtId="0" fontId="27" fillId="0" borderId="0" xfId="0" applyFont="1"/>
    <xf numFmtId="0" fontId="8" fillId="5" borderId="2" xfId="0" applyFont="1" applyFill="1" applyBorder="1"/>
    <xf numFmtId="0" fontId="8" fillId="5" borderId="10" xfId="0" applyFont="1" applyFill="1" applyBorder="1"/>
    <xf numFmtId="0" fontId="1" fillId="0" borderId="9" xfId="0" applyFont="1" applyBorder="1"/>
    <xf numFmtId="0" fontId="28" fillId="0" borderId="2" xfId="0" applyFont="1" applyBorder="1"/>
    <xf numFmtId="0" fontId="8" fillId="2" borderId="2" xfId="0" applyFont="1" applyFill="1" applyBorder="1"/>
    <xf numFmtId="0" fontId="8" fillId="2" borderId="10" xfId="0" applyFont="1" applyFill="1" applyBorder="1"/>
    <xf numFmtId="0" fontId="17" fillId="8" borderId="2" xfId="0" applyFont="1" applyFill="1" applyBorder="1"/>
    <xf numFmtId="0" fontId="17" fillId="8" borderId="10" xfId="0" applyFont="1" applyFill="1" applyBorder="1"/>
    <xf numFmtId="0" fontId="12" fillId="8" borderId="2" xfId="0" applyFont="1" applyFill="1" applyBorder="1"/>
    <xf numFmtId="0" fontId="17" fillId="10" borderId="2" xfId="0" applyFont="1" applyFill="1" applyBorder="1"/>
    <xf numFmtId="0" fontId="9" fillId="9" borderId="2" xfId="0" applyFont="1" applyFill="1" applyBorder="1"/>
    <xf numFmtId="0" fontId="12" fillId="10" borderId="2" xfId="0" applyFont="1" applyFill="1" applyBorder="1"/>
    <xf numFmtId="0" fontId="9" fillId="8" borderId="2" xfId="0" applyFont="1" applyFill="1" applyBorder="1"/>
    <xf numFmtId="0" fontId="12" fillId="8" borderId="4" xfId="0" applyFont="1" applyFill="1" applyBorder="1"/>
    <xf numFmtId="0" fontId="21" fillId="7" borderId="2" xfId="0" applyFont="1" applyFill="1" applyBorder="1"/>
    <xf numFmtId="0" fontId="24" fillId="4" borderId="15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12" borderId="15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/>
    </xf>
  </cellXfs>
  <cellStyles count="4">
    <cellStyle name="Hyperlink" xfId="3" xr:uid="{00000000-000B-0000-0000-000008000000}"/>
    <cellStyle name="Normal" xfId="0" builtinId="0"/>
    <cellStyle name="Standard 2" xfId="2" xr:uid="{00000000-0005-0000-0000-000002000000}"/>
    <cellStyle name="Standard 3" xfId="1" xr:uid="{00000000-0005-0000-0000-000003000000}"/>
  </cellStyles>
  <dxfs count="5119"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F1EB17-DF3C-486A-9AEB-74A03E3376C5}" name="Tableau2" displayName="Tableau2" ref="A1:B7" totalsRowShown="0" headerRowDxfId="0">
  <autoFilter ref="A1:B7" xr:uid="{41F1EB17-DF3C-486A-9AEB-74A03E3376C5}"/>
  <tableColumns count="2">
    <tableColumn id="1" xr3:uid="{93B30E1F-9687-4C18-A4BA-091E85FAE64F}" name="PRENOM"/>
    <tableColumn id="2" xr3:uid="{CECEADF4-FFED-4763-8DD9-F6897B82B456}" name="Nom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workbookViewId="0">
      <selection activeCell="B6" sqref="B6"/>
    </sheetView>
  </sheetViews>
  <sheetFormatPr baseColWidth="10" defaultColWidth="9.140625" defaultRowHeight="15" x14ac:dyDescent="0.25"/>
  <cols>
    <col min="2" max="2" width="21.7109375" bestFit="1" customWidth="1"/>
    <col min="3" max="3" width="15" customWidth="1"/>
    <col min="4" max="4" width="13.85546875" bestFit="1" customWidth="1"/>
    <col min="5" max="5" width="15.28515625" bestFit="1" customWidth="1"/>
    <col min="6" max="6" width="33.28515625" style="4" bestFit="1" customWidth="1"/>
    <col min="7" max="7" width="16.7109375" style="4" bestFit="1" customWidth="1"/>
    <col min="8" max="8" width="23.7109375" style="11" bestFit="1" customWidth="1"/>
  </cols>
  <sheetData>
    <row r="1" spans="1:8" s="15" customFormat="1" ht="21" x14ac:dyDescent="0.35">
      <c r="A1" s="12"/>
      <c r="B1" s="13" t="s">
        <v>0</v>
      </c>
      <c r="C1" s="13" t="s">
        <v>1</v>
      </c>
      <c r="D1" s="13" t="s">
        <v>2</v>
      </c>
      <c r="E1" s="13" t="s">
        <v>1</v>
      </c>
      <c r="F1" s="14" t="s">
        <v>3</v>
      </c>
      <c r="G1" s="14" t="s">
        <v>4</v>
      </c>
      <c r="H1" s="14" t="s">
        <v>5</v>
      </c>
    </row>
    <row r="2" spans="1:8" x14ac:dyDescent="0.25">
      <c r="A2" s="1">
        <v>1</v>
      </c>
      <c r="B2" s="3" t="s">
        <v>6</v>
      </c>
      <c r="C2" s="5" t="s">
        <v>7</v>
      </c>
      <c r="D2" s="3" t="s">
        <v>8</v>
      </c>
      <c r="E2" s="7" t="s">
        <v>9</v>
      </c>
      <c r="F2" s="7" t="s">
        <v>10</v>
      </c>
      <c r="G2" s="7" t="s">
        <v>11</v>
      </c>
      <c r="H2" s="3" t="s">
        <v>12</v>
      </c>
    </row>
    <row r="3" spans="1:8" x14ac:dyDescent="0.25">
      <c r="A3" s="1">
        <v>2</v>
      </c>
      <c r="B3" s="3" t="s">
        <v>13</v>
      </c>
      <c r="C3" s="5" t="s">
        <v>7</v>
      </c>
      <c r="D3" s="3" t="s">
        <v>14</v>
      </c>
      <c r="E3" s="7" t="s">
        <v>9</v>
      </c>
      <c r="F3" s="7" t="s">
        <v>15</v>
      </c>
      <c r="G3" s="7" t="s">
        <v>11</v>
      </c>
      <c r="H3" s="3" t="s">
        <v>16</v>
      </c>
    </row>
    <row r="4" spans="1:8" x14ac:dyDescent="0.25">
      <c r="A4" s="1">
        <v>3</v>
      </c>
      <c r="B4" s="3" t="s">
        <v>17</v>
      </c>
      <c r="C4" s="5" t="s">
        <v>18</v>
      </c>
      <c r="D4" s="3" t="s">
        <v>19</v>
      </c>
      <c r="E4" s="7" t="s">
        <v>9</v>
      </c>
      <c r="F4" s="7" t="s">
        <v>10</v>
      </c>
      <c r="G4" s="7" t="s">
        <v>20</v>
      </c>
      <c r="H4" s="3" t="s">
        <v>21</v>
      </c>
    </row>
    <row r="5" spans="1:8" x14ac:dyDescent="0.25">
      <c r="A5" s="1">
        <v>4</v>
      </c>
      <c r="B5" s="3" t="s">
        <v>22</v>
      </c>
      <c r="C5" s="5" t="s">
        <v>18</v>
      </c>
      <c r="D5" s="3" t="s">
        <v>23</v>
      </c>
      <c r="E5" s="7" t="s">
        <v>24</v>
      </c>
      <c r="F5" s="7" t="s">
        <v>10</v>
      </c>
      <c r="G5" s="7" t="s">
        <v>25</v>
      </c>
      <c r="H5" s="3" t="s">
        <v>26</v>
      </c>
    </row>
    <row r="6" spans="1:8" x14ac:dyDescent="0.25">
      <c r="A6" s="1">
        <v>5</v>
      </c>
      <c r="B6" s="3" t="s">
        <v>27</v>
      </c>
      <c r="C6" s="5" t="s">
        <v>7</v>
      </c>
      <c r="D6" s="3" t="s">
        <v>28</v>
      </c>
      <c r="E6" s="7" t="s">
        <v>9</v>
      </c>
      <c r="F6" s="7" t="s">
        <v>10</v>
      </c>
      <c r="G6" s="7" t="s">
        <v>20</v>
      </c>
      <c r="H6" s="3" t="s">
        <v>29</v>
      </c>
    </row>
    <row r="7" spans="1:8" x14ac:dyDescent="0.25">
      <c r="A7" s="1">
        <v>6</v>
      </c>
      <c r="B7" s="3" t="s">
        <v>30</v>
      </c>
      <c r="C7" s="5" t="s">
        <v>7</v>
      </c>
      <c r="D7" s="3" t="s">
        <v>31</v>
      </c>
      <c r="E7" s="7" t="s">
        <v>9</v>
      </c>
      <c r="F7" s="7" t="s">
        <v>15</v>
      </c>
      <c r="G7" s="7" t="s">
        <v>20</v>
      </c>
      <c r="H7" s="3" t="s">
        <v>32</v>
      </c>
    </row>
    <row r="8" spans="1:8" x14ac:dyDescent="0.25">
      <c r="A8" s="1">
        <v>7</v>
      </c>
      <c r="B8" s="3" t="s">
        <v>33</v>
      </c>
      <c r="C8" s="5" t="s">
        <v>7</v>
      </c>
      <c r="D8" s="3" t="s">
        <v>34</v>
      </c>
      <c r="E8" s="7" t="s">
        <v>9</v>
      </c>
      <c r="F8" s="7" t="s">
        <v>15</v>
      </c>
      <c r="G8" s="7" t="s">
        <v>20</v>
      </c>
      <c r="H8" s="3" t="s">
        <v>35</v>
      </c>
    </row>
    <row r="9" spans="1:8" x14ac:dyDescent="0.25">
      <c r="A9" s="1">
        <v>8</v>
      </c>
      <c r="B9" s="3" t="s">
        <v>36</v>
      </c>
      <c r="C9" s="5" t="s">
        <v>37</v>
      </c>
      <c r="D9" s="3" t="s">
        <v>38</v>
      </c>
      <c r="E9" s="7" t="s">
        <v>24</v>
      </c>
      <c r="F9" s="7" t="s">
        <v>10</v>
      </c>
      <c r="G9" s="7" t="s">
        <v>20</v>
      </c>
      <c r="H9" s="3" t="s">
        <v>39</v>
      </c>
    </row>
    <row r="10" spans="1:8" x14ac:dyDescent="0.25">
      <c r="A10" s="1">
        <v>9</v>
      </c>
      <c r="B10" s="3" t="s">
        <v>40</v>
      </c>
      <c r="C10" s="5" t="s">
        <v>7</v>
      </c>
      <c r="D10" s="3" t="s">
        <v>41</v>
      </c>
      <c r="E10" s="7" t="s">
        <v>24</v>
      </c>
      <c r="F10" s="7" t="s">
        <v>42</v>
      </c>
      <c r="G10" s="7" t="s">
        <v>43</v>
      </c>
      <c r="H10" s="3" t="s">
        <v>44</v>
      </c>
    </row>
    <row r="11" spans="1:8" x14ac:dyDescent="0.25">
      <c r="A11" s="1">
        <v>10</v>
      </c>
      <c r="B11" s="3" t="s">
        <v>45</v>
      </c>
      <c r="C11" s="5" t="s">
        <v>7</v>
      </c>
      <c r="D11" s="3" t="s">
        <v>46</v>
      </c>
      <c r="E11" s="7" t="s">
        <v>24</v>
      </c>
      <c r="F11" s="7" t="s">
        <v>42</v>
      </c>
      <c r="G11" s="7" t="s">
        <v>43</v>
      </c>
      <c r="H11" s="3" t="s">
        <v>47</v>
      </c>
    </row>
    <row r="12" spans="1:8" x14ac:dyDescent="0.25">
      <c r="A12" s="1">
        <v>11</v>
      </c>
      <c r="B12" s="3" t="s">
        <v>48</v>
      </c>
      <c r="C12" s="5" t="s">
        <v>37</v>
      </c>
      <c r="D12" s="3" t="s">
        <v>49</v>
      </c>
      <c r="E12" s="7" t="s">
        <v>24</v>
      </c>
      <c r="F12" s="7" t="s">
        <v>42</v>
      </c>
      <c r="G12" s="7" t="s">
        <v>43</v>
      </c>
      <c r="H12" s="3" t="s">
        <v>50</v>
      </c>
    </row>
    <row r="13" spans="1:8" x14ac:dyDescent="0.25">
      <c r="A13" s="1">
        <v>12</v>
      </c>
      <c r="B13" s="3" t="s">
        <v>51</v>
      </c>
      <c r="C13" s="5" t="s">
        <v>18</v>
      </c>
      <c r="D13" s="3" t="s">
        <v>52</v>
      </c>
      <c r="E13" s="7" t="s">
        <v>53</v>
      </c>
      <c r="F13" s="7" t="s">
        <v>54</v>
      </c>
      <c r="G13" s="7" t="s">
        <v>55</v>
      </c>
      <c r="H13" s="3" t="s">
        <v>56</v>
      </c>
    </row>
    <row r="14" spans="1:8" x14ac:dyDescent="0.25">
      <c r="A14" s="1">
        <v>13</v>
      </c>
      <c r="B14" s="3" t="s">
        <v>57</v>
      </c>
      <c r="C14" s="5" t="s">
        <v>18</v>
      </c>
      <c r="D14" s="3" t="s">
        <v>58</v>
      </c>
      <c r="E14" s="7" t="s">
        <v>53</v>
      </c>
      <c r="F14" s="7" t="s">
        <v>54</v>
      </c>
      <c r="G14" s="7" t="s">
        <v>55</v>
      </c>
      <c r="H14" s="3" t="s">
        <v>59</v>
      </c>
    </row>
    <row r="15" spans="1:8" x14ac:dyDescent="0.25">
      <c r="A15" s="1">
        <v>14</v>
      </c>
      <c r="B15" s="3" t="s">
        <v>60</v>
      </c>
      <c r="C15" s="5" t="s">
        <v>18</v>
      </c>
      <c r="D15" s="3" t="s">
        <v>61</v>
      </c>
      <c r="E15" s="7" t="s">
        <v>53</v>
      </c>
      <c r="F15" s="7" t="s">
        <v>54</v>
      </c>
      <c r="G15" s="7" t="s">
        <v>55</v>
      </c>
      <c r="H15" s="3" t="s">
        <v>62</v>
      </c>
    </row>
    <row r="16" spans="1:8" x14ac:dyDescent="0.25">
      <c r="A16" s="1">
        <v>15</v>
      </c>
      <c r="B16" s="3" t="s">
        <v>63</v>
      </c>
      <c r="C16" s="5" t="s">
        <v>7</v>
      </c>
      <c r="D16" s="3" t="s">
        <v>64</v>
      </c>
      <c r="E16" s="7" t="s">
        <v>24</v>
      </c>
      <c r="F16" s="6" t="s">
        <v>65</v>
      </c>
      <c r="G16" s="6" t="s">
        <v>66</v>
      </c>
      <c r="H16" s="3" t="s">
        <v>67</v>
      </c>
    </row>
    <row r="17" spans="1:8" x14ac:dyDescent="0.25">
      <c r="A17" s="1">
        <v>16</v>
      </c>
      <c r="B17" s="3" t="s">
        <v>68</v>
      </c>
      <c r="C17" s="5" t="s">
        <v>7</v>
      </c>
      <c r="D17" s="3" t="s">
        <v>69</v>
      </c>
      <c r="E17" s="7" t="s">
        <v>53</v>
      </c>
      <c r="F17" s="7" t="s">
        <v>54</v>
      </c>
      <c r="G17" s="7" t="s">
        <v>55</v>
      </c>
      <c r="H17" s="3" t="s">
        <v>70</v>
      </c>
    </row>
    <row r="18" spans="1:8" x14ac:dyDescent="0.25">
      <c r="A18" s="1">
        <v>17</v>
      </c>
      <c r="B18" s="3" t="s">
        <v>71</v>
      </c>
      <c r="C18" s="5" t="s">
        <v>7</v>
      </c>
      <c r="D18" s="3" t="s">
        <v>72</v>
      </c>
      <c r="E18" s="7" t="s">
        <v>24</v>
      </c>
      <c r="F18" s="6" t="s">
        <v>65</v>
      </c>
      <c r="G18" s="6" t="s">
        <v>66</v>
      </c>
      <c r="H18" s="3" t="s">
        <v>73</v>
      </c>
    </row>
    <row r="19" spans="1:8" x14ac:dyDescent="0.25">
      <c r="A19" s="1">
        <v>18</v>
      </c>
      <c r="B19" s="3" t="s">
        <v>74</v>
      </c>
      <c r="C19" s="5" t="s">
        <v>7</v>
      </c>
      <c r="D19" s="3" t="s">
        <v>75</v>
      </c>
      <c r="E19" s="7" t="s">
        <v>24</v>
      </c>
      <c r="F19" s="6" t="s">
        <v>65</v>
      </c>
      <c r="G19" s="6" t="s">
        <v>76</v>
      </c>
      <c r="H19" s="3" t="s">
        <v>77</v>
      </c>
    </row>
    <row r="20" spans="1:8" x14ac:dyDescent="0.25">
      <c r="A20" s="1">
        <v>19</v>
      </c>
      <c r="B20" s="3" t="s">
        <v>78</v>
      </c>
      <c r="C20" s="5" t="s">
        <v>7</v>
      </c>
      <c r="D20" s="3" t="s">
        <v>79</v>
      </c>
      <c r="E20" s="7" t="s">
        <v>24</v>
      </c>
      <c r="F20" s="6" t="s">
        <v>65</v>
      </c>
      <c r="G20" s="6" t="s">
        <v>76</v>
      </c>
      <c r="H20" s="9" t="s">
        <v>80</v>
      </c>
    </row>
    <row r="21" spans="1:8" x14ac:dyDescent="0.25">
      <c r="A21" s="1">
        <v>20</v>
      </c>
      <c r="B21" s="3" t="s">
        <v>81</v>
      </c>
      <c r="C21" s="5" t="s">
        <v>7</v>
      </c>
      <c r="D21" s="3" t="s">
        <v>82</v>
      </c>
      <c r="E21" s="7" t="s">
        <v>24</v>
      </c>
      <c r="F21" s="6" t="s">
        <v>65</v>
      </c>
      <c r="G21" s="6" t="s">
        <v>66</v>
      </c>
      <c r="H21" s="3" t="s">
        <v>83</v>
      </c>
    </row>
    <row r="22" spans="1:8" x14ac:dyDescent="0.25">
      <c r="A22" s="1">
        <v>21</v>
      </c>
      <c r="B22" s="3" t="s">
        <v>84</v>
      </c>
      <c r="C22" s="5" t="s">
        <v>7</v>
      </c>
      <c r="D22" s="3" t="s">
        <v>85</v>
      </c>
      <c r="E22" s="7" t="s">
        <v>24</v>
      </c>
      <c r="F22" s="6" t="s">
        <v>65</v>
      </c>
      <c r="G22" s="6" t="s">
        <v>66</v>
      </c>
      <c r="H22" s="3" t="s">
        <v>86</v>
      </c>
    </row>
    <row r="23" spans="1:8" x14ac:dyDescent="0.25">
      <c r="A23" s="1">
        <v>22</v>
      </c>
      <c r="B23" s="3" t="s">
        <v>87</v>
      </c>
      <c r="C23" s="5" t="s">
        <v>7</v>
      </c>
      <c r="D23" s="3" t="s">
        <v>88</v>
      </c>
      <c r="E23" s="7" t="s">
        <v>9</v>
      </c>
      <c r="F23" s="6" t="s">
        <v>65</v>
      </c>
      <c r="G23" s="6" t="s">
        <v>43</v>
      </c>
      <c r="H23" s="3" t="s">
        <v>89</v>
      </c>
    </row>
    <row r="24" spans="1:8" x14ac:dyDescent="0.25">
      <c r="A24" s="1">
        <v>23</v>
      </c>
      <c r="B24" s="3" t="s">
        <v>90</v>
      </c>
      <c r="C24" s="5" t="s">
        <v>7</v>
      </c>
      <c r="D24" s="3" t="s">
        <v>91</v>
      </c>
      <c r="E24" s="7" t="s">
        <v>24</v>
      </c>
      <c r="F24" s="6" t="s">
        <v>65</v>
      </c>
      <c r="G24" s="6" t="s">
        <v>76</v>
      </c>
      <c r="H24" s="3" t="s">
        <v>92</v>
      </c>
    </row>
    <row r="25" spans="1:8" x14ac:dyDescent="0.25">
      <c r="A25" s="1">
        <v>24</v>
      </c>
      <c r="B25" s="3" t="s">
        <v>93</v>
      </c>
      <c r="C25" s="5" t="s">
        <v>7</v>
      </c>
      <c r="D25" s="3" t="s">
        <v>94</v>
      </c>
      <c r="E25" s="7" t="s">
        <v>95</v>
      </c>
      <c r="F25" s="6" t="s">
        <v>96</v>
      </c>
      <c r="G25" s="6" t="s">
        <v>97</v>
      </c>
      <c r="H25" s="3" t="s">
        <v>98</v>
      </c>
    </row>
    <row r="26" spans="1:8" x14ac:dyDescent="0.25">
      <c r="A26" s="1">
        <v>25</v>
      </c>
      <c r="B26" s="3" t="s">
        <v>99</v>
      </c>
      <c r="C26" s="6" t="s">
        <v>37</v>
      </c>
      <c r="D26" s="3" t="s">
        <v>100</v>
      </c>
      <c r="E26" s="7" t="s">
        <v>95</v>
      </c>
      <c r="F26" s="6" t="s">
        <v>96</v>
      </c>
      <c r="G26" s="6" t="s">
        <v>97</v>
      </c>
      <c r="H26" s="3" t="s">
        <v>101</v>
      </c>
    </row>
    <row r="27" spans="1:8" x14ac:dyDescent="0.25">
      <c r="A27" s="1">
        <v>26</v>
      </c>
      <c r="B27" s="3" t="s">
        <v>102</v>
      </c>
      <c r="C27" s="6" t="s">
        <v>37</v>
      </c>
      <c r="D27" s="3" t="s">
        <v>103</v>
      </c>
      <c r="E27" s="7" t="s">
        <v>53</v>
      </c>
      <c r="F27" s="7" t="s">
        <v>54</v>
      </c>
      <c r="G27" s="6" t="s">
        <v>55</v>
      </c>
      <c r="H27" s="3" t="s">
        <v>104</v>
      </c>
    </row>
    <row r="28" spans="1:8" x14ac:dyDescent="0.25">
      <c r="A28" s="1">
        <v>27</v>
      </c>
      <c r="B28" s="3" t="s">
        <v>105</v>
      </c>
      <c r="C28" s="6" t="s">
        <v>37</v>
      </c>
      <c r="D28" s="3" t="s">
        <v>106</v>
      </c>
      <c r="E28" s="7" t="s">
        <v>107</v>
      </c>
      <c r="F28" s="6" t="s">
        <v>108</v>
      </c>
      <c r="G28" s="6" t="s">
        <v>109</v>
      </c>
      <c r="H28" s="3" t="s">
        <v>110</v>
      </c>
    </row>
    <row r="29" spans="1:8" x14ac:dyDescent="0.25">
      <c r="A29" s="1">
        <v>28</v>
      </c>
      <c r="B29" s="3" t="s">
        <v>111</v>
      </c>
      <c r="C29" s="6" t="s">
        <v>37</v>
      </c>
      <c r="D29" s="3" t="s">
        <v>112</v>
      </c>
      <c r="E29" s="7" t="s">
        <v>24</v>
      </c>
      <c r="F29" s="6" t="s">
        <v>65</v>
      </c>
      <c r="G29" s="6" t="s">
        <v>66</v>
      </c>
      <c r="H29" s="3" t="s">
        <v>113</v>
      </c>
    </row>
    <row r="30" spans="1:8" x14ac:dyDescent="0.25">
      <c r="A30" s="1">
        <v>29</v>
      </c>
      <c r="B30" s="3" t="s">
        <v>114</v>
      </c>
      <c r="C30" s="6" t="s">
        <v>37</v>
      </c>
      <c r="D30" s="3" t="s">
        <v>115</v>
      </c>
      <c r="E30" s="7" t="s">
        <v>24</v>
      </c>
      <c r="F30" s="6" t="s">
        <v>65</v>
      </c>
      <c r="G30" s="6" t="s">
        <v>66</v>
      </c>
      <c r="H30" s="3" t="s">
        <v>116</v>
      </c>
    </row>
    <row r="31" spans="1:8" x14ac:dyDescent="0.25">
      <c r="A31" s="1">
        <v>30</v>
      </c>
      <c r="B31" s="3" t="s">
        <v>117</v>
      </c>
      <c r="C31" s="6" t="s">
        <v>7</v>
      </c>
      <c r="D31" s="3" t="s">
        <v>118</v>
      </c>
      <c r="E31" s="7" t="s">
        <v>24</v>
      </c>
      <c r="F31" s="6" t="s">
        <v>65</v>
      </c>
      <c r="G31" s="6" t="s">
        <v>76</v>
      </c>
      <c r="H31" s="3" t="s">
        <v>119</v>
      </c>
    </row>
    <row r="32" spans="1:8" x14ac:dyDescent="0.25">
      <c r="A32" s="1">
        <v>31</v>
      </c>
      <c r="B32" s="3" t="s">
        <v>120</v>
      </c>
      <c r="C32" s="6" t="s">
        <v>7</v>
      </c>
      <c r="D32" s="3" t="s">
        <v>121</v>
      </c>
      <c r="E32" s="7" t="s">
        <v>24</v>
      </c>
      <c r="F32" s="6" t="s">
        <v>65</v>
      </c>
      <c r="G32" s="6" t="s">
        <v>66</v>
      </c>
      <c r="H32" s="3" t="s">
        <v>122</v>
      </c>
    </row>
    <row r="33" spans="1:8" x14ac:dyDescent="0.25">
      <c r="A33" s="1">
        <v>32</v>
      </c>
      <c r="B33" s="3" t="s">
        <v>123</v>
      </c>
      <c r="C33" s="6" t="s">
        <v>7</v>
      </c>
      <c r="D33" s="3" t="s">
        <v>124</v>
      </c>
      <c r="E33" s="7" t="s">
        <v>24</v>
      </c>
      <c r="F33" s="6" t="s">
        <v>65</v>
      </c>
      <c r="G33" s="6" t="s">
        <v>66</v>
      </c>
      <c r="H33" s="3" t="s">
        <v>125</v>
      </c>
    </row>
    <row r="34" spans="1:8" x14ac:dyDescent="0.25">
      <c r="A34" s="1">
        <v>33</v>
      </c>
      <c r="B34" s="3" t="s">
        <v>126</v>
      </c>
      <c r="C34" s="6" t="s">
        <v>7</v>
      </c>
      <c r="D34" s="3" t="s">
        <v>127</v>
      </c>
      <c r="E34" s="7" t="s">
        <v>24</v>
      </c>
      <c r="F34" s="6" t="s">
        <v>65</v>
      </c>
      <c r="G34" s="6" t="s">
        <v>76</v>
      </c>
      <c r="H34" s="3" t="s">
        <v>128</v>
      </c>
    </row>
    <row r="35" spans="1:8" x14ac:dyDescent="0.25">
      <c r="A35" s="1">
        <v>34</v>
      </c>
      <c r="B35" s="3" t="s">
        <v>129</v>
      </c>
      <c r="C35" s="6" t="s">
        <v>7</v>
      </c>
      <c r="D35" s="3" t="s">
        <v>130</v>
      </c>
      <c r="E35" s="7" t="s">
        <v>95</v>
      </c>
      <c r="F35" s="6" t="s">
        <v>96</v>
      </c>
      <c r="G35" s="6" t="s">
        <v>131</v>
      </c>
      <c r="H35" s="3" t="s">
        <v>132</v>
      </c>
    </row>
    <row r="36" spans="1:8" x14ac:dyDescent="0.25">
      <c r="A36" s="1">
        <v>35</v>
      </c>
      <c r="B36" s="3" t="s">
        <v>133</v>
      </c>
      <c r="C36" s="6" t="s">
        <v>7</v>
      </c>
      <c r="D36" s="3" t="s">
        <v>134</v>
      </c>
      <c r="E36" s="7" t="s">
        <v>95</v>
      </c>
      <c r="F36" s="6" t="s">
        <v>96</v>
      </c>
      <c r="G36" s="6" t="s">
        <v>97</v>
      </c>
      <c r="H36" s="3" t="s">
        <v>135</v>
      </c>
    </row>
    <row r="37" spans="1:8" x14ac:dyDescent="0.25">
      <c r="A37" s="1">
        <v>36</v>
      </c>
      <c r="B37" s="3" t="s">
        <v>136</v>
      </c>
      <c r="C37" s="6" t="s">
        <v>7</v>
      </c>
      <c r="D37" s="3" t="s">
        <v>137</v>
      </c>
      <c r="E37" s="7" t="s">
        <v>53</v>
      </c>
      <c r="F37" s="7" t="s">
        <v>54</v>
      </c>
      <c r="G37" s="6" t="s">
        <v>55</v>
      </c>
      <c r="H37" s="3" t="s">
        <v>138</v>
      </c>
    </row>
    <row r="38" spans="1:8" x14ac:dyDescent="0.25">
      <c r="A38" s="1">
        <v>37</v>
      </c>
      <c r="B38" s="3" t="s">
        <v>139</v>
      </c>
      <c r="C38" s="6" t="s">
        <v>7</v>
      </c>
      <c r="D38" s="3" t="s">
        <v>140</v>
      </c>
      <c r="E38" s="7" t="s">
        <v>95</v>
      </c>
      <c r="F38" s="6" t="s">
        <v>96</v>
      </c>
      <c r="G38" s="6" t="s">
        <v>97</v>
      </c>
      <c r="H38" s="3" t="s">
        <v>141</v>
      </c>
    </row>
    <row r="39" spans="1:8" x14ac:dyDescent="0.25">
      <c r="A39" s="1">
        <v>38</v>
      </c>
      <c r="B39" s="3" t="s">
        <v>142</v>
      </c>
      <c r="C39" s="6" t="s">
        <v>7</v>
      </c>
      <c r="D39" s="3" t="s">
        <v>143</v>
      </c>
      <c r="E39" s="7" t="s">
        <v>107</v>
      </c>
      <c r="F39" s="8" t="s">
        <v>144</v>
      </c>
      <c r="G39" s="6" t="s">
        <v>131</v>
      </c>
      <c r="H39" s="10" t="s">
        <v>145</v>
      </c>
    </row>
    <row r="40" spans="1:8" x14ac:dyDescent="0.25">
      <c r="A40" s="1">
        <v>39</v>
      </c>
      <c r="B40" s="3" t="s">
        <v>146</v>
      </c>
      <c r="C40" s="6" t="s">
        <v>7</v>
      </c>
      <c r="D40" s="3" t="s">
        <v>147</v>
      </c>
      <c r="E40" s="7" t="s">
        <v>148</v>
      </c>
      <c r="F40" s="6" t="s">
        <v>149</v>
      </c>
      <c r="G40" s="6" t="s">
        <v>150</v>
      </c>
      <c r="H40" s="3" t="s">
        <v>151</v>
      </c>
    </row>
    <row r="41" spans="1:8" x14ac:dyDescent="0.25">
      <c r="A41" s="1">
        <v>40</v>
      </c>
      <c r="B41" s="3" t="s">
        <v>152</v>
      </c>
      <c r="C41" s="6" t="s">
        <v>7</v>
      </c>
      <c r="D41" s="3" t="s">
        <v>153</v>
      </c>
      <c r="E41" s="7" t="s">
        <v>53</v>
      </c>
      <c r="F41" s="7" t="s">
        <v>54</v>
      </c>
      <c r="G41" s="6" t="s">
        <v>55</v>
      </c>
      <c r="H41" s="3" t="s">
        <v>154</v>
      </c>
    </row>
    <row r="42" spans="1:8" x14ac:dyDescent="0.25">
      <c r="A42" s="1">
        <v>41</v>
      </c>
      <c r="B42" s="3" t="s">
        <v>155</v>
      </c>
      <c r="C42" s="6" t="s">
        <v>7</v>
      </c>
      <c r="D42" s="3" t="s">
        <v>156</v>
      </c>
      <c r="E42" s="7" t="s">
        <v>95</v>
      </c>
      <c r="F42" s="6" t="s">
        <v>96</v>
      </c>
      <c r="G42" s="6" t="s">
        <v>97</v>
      </c>
      <c r="H42" s="3" t="s">
        <v>157</v>
      </c>
    </row>
    <row r="43" spans="1:8" x14ac:dyDescent="0.25">
      <c r="A43" s="1">
        <v>42</v>
      </c>
      <c r="B43" s="3" t="s">
        <v>158</v>
      </c>
      <c r="C43" s="6" t="s">
        <v>7</v>
      </c>
      <c r="D43" s="3" t="s">
        <v>159</v>
      </c>
      <c r="E43" s="7" t="s">
        <v>95</v>
      </c>
      <c r="F43" s="6" t="s">
        <v>96</v>
      </c>
      <c r="G43" s="6" t="s">
        <v>97</v>
      </c>
      <c r="H43" s="3" t="s">
        <v>160</v>
      </c>
    </row>
    <row r="44" spans="1:8" x14ac:dyDescent="0.25">
      <c r="A44" s="1">
        <v>43</v>
      </c>
      <c r="B44" s="3" t="s">
        <v>161</v>
      </c>
      <c r="C44" s="6" t="s">
        <v>7</v>
      </c>
      <c r="D44" s="3" t="s">
        <v>162</v>
      </c>
      <c r="E44" s="7" t="s">
        <v>107</v>
      </c>
      <c r="F44" s="6" t="s">
        <v>108</v>
      </c>
      <c r="G44" s="6" t="s">
        <v>109</v>
      </c>
      <c r="H44" s="3" t="s">
        <v>163</v>
      </c>
    </row>
    <row r="45" spans="1:8" x14ac:dyDescent="0.25">
      <c r="A45" s="1">
        <v>44</v>
      </c>
      <c r="B45" s="3" t="s">
        <v>164</v>
      </c>
      <c r="C45" s="6" t="s">
        <v>7</v>
      </c>
      <c r="D45" s="3" t="s">
        <v>165</v>
      </c>
      <c r="E45" s="7" t="s">
        <v>95</v>
      </c>
      <c r="F45" s="6" t="s">
        <v>96</v>
      </c>
      <c r="G45" s="6" t="s">
        <v>97</v>
      </c>
      <c r="H45" s="3" t="s">
        <v>166</v>
      </c>
    </row>
    <row r="46" spans="1:8" x14ac:dyDescent="0.25">
      <c r="A46" s="1">
        <v>45</v>
      </c>
      <c r="B46" s="3" t="s">
        <v>167</v>
      </c>
      <c r="C46" s="6" t="s">
        <v>7</v>
      </c>
      <c r="D46" s="3" t="s">
        <v>168</v>
      </c>
      <c r="E46" s="7" t="s">
        <v>95</v>
      </c>
      <c r="F46" s="6" t="s">
        <v>96</v>
      </c>
      <c r="G46" s="6" t="s">
        <v>97</v>
      </c>
      <c r="H46" s="3" t="s">
        <v>169</v>
      </c>
    </row>
    <row r="47" spans="1:8" x14ac:dyDescent="0.25">
      <c r="A47" s="1">
        <v>46</v>
      </c>
      <c r="B47" s="3" t="s">
        <v>170</v>
      </c>
      <c r="C47" s="6" t="s">
        <v>7</v>
      </c>
      <c r="D47" s="3" t="s">
        <v>171</v>
      </c>
      <c r="E47" s="7" t="s">
        <v>107</v>
      </c>
      <c r="F47" s="8" t="s">
        <v>144</v>
      </c>
      <c r="G47" s="6" t="s">
        <v>131</v>
      </c>
      <c r="H47" s="3" t="s">
        <v>172</v>
      </c>
    </row>
    <row r="48" spans="1:8" x14ac:dyDescent="0.25">
      <c r="A48" s="1">
        <v>47</v>
      </c>
      <c r="B48" s="3" t="s">
        <v>173</v>
      </c>
      <c r="C48" s="6" t="s">
        <v>7</v>
      </c>
      <c r="D48" s="3" t="s">
        <v>174</v>
      </c>
      <c r="E48" s="7" t="s">
        <v>107</v>
      </c>
      <c r="F48" s="6" t="s">
        <v>108</v>
      </c>
      <c r="G48" s="6" t="s">
        <v>109</v>
      </c>
      <c r="H48" s="3" t="s">
        <v>175</v>
      </c>
    </row>
    <row r="49" spans="1:8" x14ac:dyDescent="0.25">
      <c r="A49" s="1">
        <v>48</v>
      </c>
      <c r="B49" s="3" t="s">
        <v>176</v>
      </c>
      <c r="C49" s="6" t="s">
        <v>7</v>
      </c>
      <c r="D49" s="3" t="s">
        <v>177</v>
      </c>
      <c r="E49" s="7" t="s">
        <v>24</v>
      </c>
      <c r="F49" s="6" t="s">
        <v>65</v>
      </c>
      <c r="G49" s="6" t="s">
        <v>76</v>
      </c>
      <c r="H49" s="3" t="s">
        <v>178</v>
      </c>
    </row>
    <row r="50" spans="1:8" x14ac:dyDescent="0.25">
      <c r="A50" s="1">
        <v>49</v>
      </c>
      <c r="B50" s="3" t="s">
        <v>179</v>
      </c>
      <c r="C50" s="6" t="s">
        <v>7</v>
      </c>
      <c r="D50" s="3" t="s">
        <v>180</v>
      </c>
      <c r="E50" s="7" t="s">
        <v>9</v>
      </c>
      <c r="F50" s="6" t="s">
        <v>181</v>
      </c>
      <c r="G50" s="6" t="s">
        <v>43</v>
      </c>
      <c r="H50" s="3" t="s">
        <v>182</v>
      </c>
    </row>
    <row r="51" spans="1:8" x14ac:dyDescent="0.25">
      <c r="A51" s="1">
        <v>50</v>
      </c>
      <c r="B51" s="3" t="s">
        <v>183</v>
      </c>
      <c r="C51" s="6" t="s">
        <v>7</v>
      </c>
      <c r="D51" s="3" t="s">
        <v>184</v>
      </c>
      <c r="E51" s="7" t="s">
        <v>24</v>
      </c>
      <c r="F51" s="6" t="s">
        <v>65</v>
      </c>
      <c r="G51" s="6" t="s">
        <v>66</v>
      </c>
      <c r="H51" s="3" t="s">
        <v>185</v>
      </c>
    </row>
    <row r="52" spans="1:8" x14ac:dyDescent="0.25">
      <c r="A52" s="1">
        <v>51</v>
      </c>
      <c r="B52" s="3" t="s">
        <v>186</v>
      </c>
      <c r="C52" s="6" t="s">
        <v>7</v>
      </c>
      <c r="D52" s="3" t="s">
        <v>187</v>
      </c>
      <c r="E52" s="7" t="s">
        <v>9</v>
      </c>
      <c r="F52" s="6" t="s">
        <v>65</v>
      </c>
      <c r="G52" s="6" t="s">
        <v>66</v>
      </c>
      <c r="H52" s="3" t="s">
        <v>188</v>
      </c>
    </row>
    <row r="53" spans="1:8" x14ac:dyDescent="0.25">
      <c r="A53" s="1">
        <v>52</v>
      </c>
      <c r="B53" s="3" t="s">
        <v>189</v>
      </c>
      <c r="C53" s="6" t="s">
        <v>7</v>
      </c>
      <c r="D53" s="3" t="s">
        <v>190</v>
      </c>
      <c r="E53" s="7" t="s">
        <v>24</v>
      </c>
      <c r="F53" s="6" t="s">
        <v>65</v>
      </c>
      <c r="G53" s="6" t="s">
        <v>66</v>
      </c>
      <c r="H53" s="3" t="s">
        <v>191</v>
      </c>
    </row>
    <row r="54" spans="1:8" x14ac:dyDescent="0.25">
      <c r="A54" s="1">
        <v>53</v>
      </c>
      <c r="B54" s="3" t="s">
        <v>192</v>
      </c>
      <c r="C54" s="6" t="s">
        <v>18</v>
      </c>
      <c r="D54" s="3" t="s">
        <v>193</v>
      </c>
      <c r="E54" s="7" t="s">
        <v>95</v>
      </c>
      <c r="F54" s="6" t="s">
        <v>96</v>
      </c>
      <c r="G54" s="6" t="s">
        <v>97</v>
      </c>
      <c r="H54" s="3" t="s">
        <v>194</v>
      </c>
    </row>
    <row r="55" spans="1:8" x14ac:dyDescent="0.25">
      <c r="A55" s="1">
        <v>54</v>
      </c>
      <c r="B55" s="3" t="s">
        <v>195</v>
      </c>
      <c r="C55" s="6" t="s">
        <v>18</v>
      </c>
      <c r="D55" s="3" t="s">
        <v>196</v>
      </c>
      <c r="E55" s="7" t="s">
        <v>95</v>
      </c>
      <c r="F55" s="6" t="s">
        <v>96</v>
      </c>
      <c r="G55" s="6" t="s">
        <v>97</v>
      </c>
      <c r="H55" s="3" t="s">
        <v>197</v>
      </c>
    </row>
    <row r="56" spans="1:8" x14ac:dyDescent="0.25">
      <c r="A56" s="1">
        <v>55</v>
      </c>
      <c r="B56" s="3" t="s">
        <v>198</v>
      </c>
      <c r="C56" s="6" t="s">
        <v>18</v>
      </c>
      <c r="D56" s="3" t="s">
        <v>199</v>
      </c>
      <c r="E56" s="7" t="s">
        <v>53</v>
      </c>
      <c r="F56" s="7" t="s">
        <v>54</v>
      </c>
      <c r="G56" s="6" t="s">
        <v>55</v>
      </c>
      <c r="H56" s="3" t="s">
        <v>200</v>
      </c>
    </row>
    <row r="57" spans="1:8" x14ac:dyDescent="0.25">
      <c r="A57" s="1">
        <v>56</v>
      </c>
      <c r="B57" s="3" t="s">
        <v>201</v>
      </c>
      <c r="C57" s="6" t="s">
        <v>18</v>
      </c>
      <c r="D57" s="3" t="s">
        <v>202</v>
      </c>
      <c r="E57" s="7" t="s">
        <v>95</v>
      </c>
      <c r="F57" s="6" t="s">
        <v>203</v>
      </c>
      <c r="G57" s="6" t="s">
        <v>204</v>
      </c>
      <c r="H57" s="3" t="s">
        <v>205</v>
      </c>
    </row>
    <row r="58" spans="1:8" x14ac:dyDescent="0.25">
      <c r="A58" s="1">
        <v>57</v>
      </c>
      <c r="B58" s="3" t="s">
        <v>206</v>
      </c>
      <c r="C58" s="6" t="s">
        <v>18</v>
      </c>
      <c r="D58" s="3" t="s">
        <v>207</v>
      </c>
      <c r="E58" s="7" t="s">
        <v>107</v>
      </c>
      <c r="F58" s="6" t="s">
        <v>144</v>
      </c>
      <c r="G58" s="6" t="s">
        <v>131</v>
      </c>
      <c r="H58" s="3" t="s">
        <v>208</v>
      </c>
    </row>
    <row r="59" spans="1:8" x14ac:dyDescent="0.25">
      <c r="A59" s="1">
        <v>59</v>
      </c>
      <c r="B59" s="3" t="s">
        <v>209</v>
      </c>
      <c r="C59" s="6" t="s">
        <v>18</v>
      </c>
      <c r="D59" s="3" t="s">
        <v>210</v>
      </c>
      <c r="E59" s="7" t="s">
        <v>95</v>
      </c>
      <c r="F59" s="6" t="s">
        <v>96</v>
      </c>
      <c r="G59" s="6" t="s">
        <v>97</v>
      </c>
      <c r="H59" s="3" t="s">
        <v>211</v>
      </c>
    </row>
    <row r="60" spans="1:8" x14ac:dyDescent="0.25">
      <c r="A60" s="1">
        <v>62</v>
      </c>
      <c r="B60" s="3" t="s">
        <v>212</v>
      </c>
      <c r="C60" s="6" t="s">
        <v>7</v>
      </c>
      <c r="D60" s="3" t="s">
        <v>213</v>
      </c>
      <c r="E60" s="7" t="s">
        <v>24</v>
      </c>
      <c r="F60" s="6" t="s">
        <v>65</v>
      </c>
      <c r="G60" s="6" t="s">
        <v>20</v>
      </c>
      <c r="H60" s="3" t="s">
        <v>214</v>
      </c>
    </row>
    <row r="61" spans="1:8" x14ac:dyDescent="0.25">
      <c r="A61" s="1">
        <v>63</v>
      </c>
      <c r="B61" s="3" t="s">
        <v>215</v>
      </c>
      <c r="C61" s="6" t="s">
        <v>7</v>
      </c>
      <c r="D61" s="3" t="s">
        <v>216</v>
      </c>
      <c r="E61" s="7" t="s">
        <v>24</v>
      </c>
      <c r="F61" s="6" t="s">
        <v>65</v>
      </c>
      <c r="G61" s="6" t="s">
        <v>66</v>
      </c>
      <c r="H61" s="3" t="s">
        <v>217</v>
      </c>
    </row>
    <row r="62" spans="1:8" x14ac:dyDescent="0.25">
      <c r="A62" s="1">
        <v>64</v>
      </c>
      <c r="B62" s="3" t="s">
        <v>218</v>
      </c>
      <c r="C62" s="6" t="s">
        <v>7</v>
      </c>
      <c r="D62" s="3" t="s">
        <v>219</v>
      </c>
      <c r="E62" s="7" t="s">
        <v>24</v>
      </c>
      <c r="F62" s="6" t="s">
        <v>65</v>
      </c>
      <c r="G62" s="6" t="s">
        <v>66</v>
      </c>
      <c r="H62" s="3" t="s">
        <v>220</v>
      </c>
    </row>
    <row r="63" spans="1:8" x14ac:dyDescent="0.25">
      <c r="A63" s="1">
        <v>65</v>
      </c>
      <c r="B63" s="3" t="s">
        <v>221</v>
      </c>
      <c r="C63" s="6" t="s">
        <v>7</v>
      </c>
      <c r="D63" s="3" t="s">
        <v>222</v>
      </c>
      <c r="E63" s="7" t="s">
        <v>24</v>
      </c>
      <c r="F63" s="6" t="s">
        <v>65</v>
      </c>
      <c r="G63" s="6" t="s">
        <v>66</v>
      </c>
      <c r="H63" s="3" t="s">
        <v>223</v>
      </c>
    </row>
    <row r="64" spans="1:8" x14ac:dyDescent="0.25">
      <c r="A64" s="1">
        <v>66</v>
      </c>
      <c r="B64" s="3" t="s">
        <v>224</v>
      </c>
      <c r="C64" s="6" t="s">
        <v>7</v>
      </c>
      <c r="D64" s="3" t="s">
        <v>225</v>
      </c>
      <c r="E64" s="7" t="s">
        <v>24</v>
      </c>
      <c r="F64" s="6" t="s">
        <v>65</v>
      </c>
      <c r="G64" s="6" t="s">
        <v>66</v>
      </c>
      <c r="H64" s="3" t="s">
        <v>226</v>
      </c>
    </row>
    <row r="65" spans="1:8" x14ac:dyDescent="0.25">
      <c r="A65" s="1">
        <v>68</v>
      </c>
      <c r="B65" s="3" t="s">
        <v>227</v>
      </c>
      <c r="C65" s="6" t="s">
        <v>7</v>
      </c>
      <c r="D65" s="3" t="s">
        <v>228</v>
      </c>
      <c r="E65" s="7" t="s">
        <v>24</v>
      </c>
      <c r="F65" s="6" t="s">
        <v>65</v>
      </c>
      <c r="G65" s="6" t="s">
        <v>229</v>
      </c>
      <c r="H65" s="3" t="s">
        <v>230</v>
      </c>
    </row>
    <row r="66" spans="1:8" x14ac:dyDescent="0.25">
      <c r="A66" s="1">
        <v>69</v>
      </c>
      <c r="B66" s="3" t="s">
        <v>231</v>
      </c>
      <c r="C66" s="6" t="s">
        <v>7</v>
      </c>
      <c r="D66" s="3" t="s">
        <v>232</v>
      </c>
      <c r="E66" s="7" t="s">
        <v>107</v>
      </c>
      <c r="F66" s="8" t="s">
        <v>144</v>
      </c>
      <c r="G66" s="6" t="s">
        <v>131</v>
      </c>
      <c r="H66" s="3" t="s">
        <v>233</v>
      </c>
    </row>
    <row r="67" spans="1:8" x14ac:dyDescent="0.25">
      <c r="A67" s="1">
        <v>70</v>
      </c>
      <c r="B67" s="3" t="s">
        <v>234</v>
      </c>
      <c r="C67" s="6" t="s">
        <v>7</v>
      </c>
      <c r="D67" s="3" t="s">
        <v>235</v>
      </c>
      <c r="E67" s="7" t="s">
        <v>53</v>
      </c>
      <c r="F67" s="7" t="s">
        <v>54</v>
      </c>
      <c r="G67" s="6" t="s">
        <v>55</v>
      </c>
      <c r="H67" s="3" t="s">
        <v>236</v>
      </c>
    </row>
    <row r="68" spans="1:8" x14ac:dyDescent="0.25">
      <c r="A68" s="1">
        <v>71</v>
      </c>
      <c r="B68" s="3" t="s">
        <v>237</v>
      </c>
      <c r="C68" s="6" t="s">
        <v>7</v>
      </c>
      <c r="D68" s="3" t="s">
        <v>238</v>
      </c>
      <c r="E68" s="7" t="s">
        <v>95</v>
      </c>
      <c r="F68" s="6" t="s">
        <v>96</v>
      </c>
      <c r="G68" s="6" t="s">
        <v>97</v>
      </c>
      <c r="H68" s="3" t="s">
        <v>239</v>
      </c>
    </row>
    <row r="69" spans="1:8" x14ac:dyDescent="0.25">
      <c r="A69" s="1">
        <v>72</v>
      </c>
      <c r="B69" s="3" t="s">
        <v>240</v>
      </c>
      <c r="C69" s="6" t="s">
        <v>7</v>
      </c>
      <c r="D69" s="3" t="s">
        <v>241</v>
      </c>
      <c r="E69" s="7" t="s">
        <v>107</v>
      </c>
      <c r="F69" s="8" t="s">
        <v>144</v>
      </c>
      <c r="G69" s="6" t="s">
        <v>131</v>
      </c>
      <c r="H69" s="3" t="s">
        <v>242</v>
      </c>
    </row>
    <row r="70" spans="1:8" x14ac:dyDescent="0.25">
      <c r="A70" s="1">
        <v>73</v>
      </c>
      <c r="B70" s="3" t="s">
        <v>243</v>
      </c>
      <c r="C70" s="6" t="s">
        <v>7</v>
      </c>
      <c r="D70" s="3" t="s">
        <v>244</v>
      </c>
      <c r="E70" s="7" t="s">
        <v>53</v>
      </c>
      <c r="F70" s="7" t="s">
        <v>54</v>
      </c>
      <c r="G70" s="6" t="s">
        <v>55</v>
      </c>
      <c r="H70" s="3" t="s">
        <v>245</v>
      </c>
    </row>
    <row r="71" spans="1:8" x14ac:dyDescent="0.25">
      <c r="A71" s="17">
        <v>74</v>
      </c>
      <c r="B71" s="16" t="s">
        <v>246</v>
      </c>
      <c r="C71" s="16"/>
      <c r="D71" s="16" t="s">
        <v>247</v>
      </c>
      <c r="E71" s="17"/>
      <c r="F71" s="18"/>
      <c r="G71" s="18"/>
      <c r="H71" s="16" t="s">
        <v>248</v>
      </c>
    </row>
    <row r="72" spans="1:8" x14ac:dyDescent="0.25">
      <c r="A72" s="17">
        <v>75</v>
      </c>
      <c r="B72" s="16" t="s">
        <v>246</v>
      </c>
      <c r="C72" s="16"/>
      <c r="D72" s="16" t="s">
        <v>247</v>
      </c>
      <c r="E72" s="17"/>
      <c r="F72" s="18"/>
      <c r="G72" s="18"/>
      <c r="H72" s="16" t="s">
        <v>249</v>
      </c>
    </row>
    <row r="73" spans="1:8" x14ac:dyDescent="0.25">
      <c r="A73" s="17">
        <v>76</v>
      </c>
      <c r="B73" s="16" t="s">
        <v>246</v>
      </c>
      <c r="C73" s="16"/>
      <c r="D73" s="16" t="s">
        <v>247</v>
      </c>
      <c r="E73" s="17"/>
      <c r="F73" s="18"/>
      <c r="G73" s="18"/>
      <c r="H73" s="16" t="s">
        <v>250</v>
      </c>
    </row>
    <row r="74" spans="1:8" x14ac:dyDescent="0.25">
      <c r="A74" s="17">
        <v>77</v>
      </c>
      <c r="B74" s="16" t="s">
        <v>246</v>
      </c>
      <c r="C74" s="16"/>
      <c r="D74" s="16" t="s">
        <v>247</v>
      </c>
      <c r="E74" s="17"/>
      <c r="F74" s="18"/>
      <c r="G74" s="18"/>
      <c r="H74" s="16" t="s">
        <v>251</v>
      </c>
    </row>
    <row r="75" spans="1:8" x14ac:dyDescent="0.25">
      <c r="A75" s="17">
        <v>78</v>
      </c>
      <c r="B75" s="16"/>
      <c r="C75" s="16"/>
      <c r="D75" s="16" t="s">
        <v>247</v>
      </c>
      <c r="E75" s="17"/>
      <c r="F75" s="18"/>
      <c r="G75" s="18"/>
      <c r="H75" s="16" t="s">
        <v>252</v>
      </c>
    </row>
    <row r="76" spans="1:8" x14ac:dyDescent="0.25">
      <c r="A76" s="1">
        <v>79</v>
      </c>
      <c r="B76" s="3" t="s">
        <v>253</v>
      </c>
      <c r="C76" s="3"/>
      <c r="D76" s="3" t="s">
        <v>254</v>
      </c>
      <c r="E76" s="7" t="s">
        <v>95</v>
      </c>
      <c r="F76" s="6" t="s">
        <v>96</v>
      </c>
      <c r="G76" s="6" t="s">
        <v>97</v>
      </c>
      <c r="H76" s="3"/>
    </row>
    <row r="77" spans="1:8" x14ac:dyDescent="0.25">
      <c r="A77" s="1">
        <v>80</v>
      </c>
      <c r="B77" s="3" t="s">
        <v>253</v>
      </c>
      <c r="C77" s="3"/>
      <c r="D77" s="3" t="s">
        <v>255</v>
      </c>
      <c r="E77" s="7" t="s">
        <v>9</v>
      </c>
      <c r="F77" s="7" t="s">
        <v>256</v>
      </c>
      <c r="G77" s="6" t="s">
        <v>257</v>
      </c>
      <c r="H77" s="3"/>
    </row>
    <row r="78" spans="1:8" x14ac:dyDescent="0.25">
      <c r="A78" s="1">
        <v>81</v>
      </c>
      <c r="B78" s="3" t="s">
        <v>253</v>
      </c>
      <c r="C78" s="3"/>
      <c r="D78" s="3" t="s">
        <v>258</v>
      </c>
      <c r="E78" s="7" t="s">
        <v>148</v>
      </c>
      <c r="F78" s="7" t="s">
        <v>259</v>
      </c>
      <c r="G78" s="6" t="s">
        <v>204</v>
      </c>
      <c r="H78" s="3"/>
    </row>
    <row r="79" spans="1:8" x14ac:dyDescent="0.25">
      <c r="A79" s="1">
        <v>82</v>
      </c>
      <c r="B79" s="3" t="s">
        <v>253</v>
      </c>
      <c r="C79" s="3"/>
      <c r="D79" s="3" t="s">
        <v>260</v>
      </c>
      <c r="E79" s="7" t="s">
        <v>53</v>
      </c>
      <c r="F79" s="7" t="s">
        <v>54</v>
      </c>
      <c r="G79" s="6" t="s">
        <v>55</v>
      </c>
      <c r="H79" s="3"/>
    </row>
    <row r="80" spans="1:8" x14ac:dyDescent="0.25">
      <c r="A80" s="1">
        <v>83</v>
      </c>
      <c r="B80" s="3" t="s">
        <v>253</v>
      </c>
      <c r="C80" s="3"/>
      <c r="D80" s="3" t="s">
        <v>261</v>
      </c>
      <c r="E80" s="7" t="s">
        <v>107</v>
      </c>
      <c r="F80" s="7" t="s">
        <v>262</v>
      </c>
      <c r="G80" s="6" t="s">
        <v>263</v>
      </c>
      <c r="H80" s="3"/>
    </row>
    <row r="81" spans="1:8" x14ac:dyDescent="0.25">
      <c r="A81" s="1">
        <v>84</v>
      </c>
      <c r="B81" s="3" t="s">
        <v>253</v>
      </c>
      <c r="C81" s="3"/>
      <c r="D81" s="3" t="s">
        <v>264</v>
      </c>
      <c r="E81" s="7" t="s">
        <v>53</v>
      </c>
      <c r="F81" s="7" t="s">
        <v>54</v>
      </c>
      <c r="G81" s="6" t="s">
        <v>55</v>
      </c>
      <c r="H81" s="3"/>
    </row>
    <row r="82" spans="1:8" x14ac:dyDescent="0.25">
      <c r="A82" s="1">
        <v>85</v>
      </c>
      <c r="B82" s="3" t="s">
        <v>265</v>
      </c>
      <c r="C82" s="3"/>
      <c r="D82" s="3" t="s">
        <v>266</v>
      </c>
      <c r="E82" s="7" t="s">
        <v>95</v>
      </c>
      <c r="F82" s="7" t="s">
        <v>203</v>
      </c>
      <c r="G82" s="6" t="s">
        <v>267</v>
      </c>
      <c r="H82" s="3"/>
    </row>
    <row r="83" spans="1:8" x14ac:dyDescent="0.25">
      <c r="A83" s="1">
        <v>86</v>
      </c>
      <c r="B83" s="3" t="s">
        <v>268</v>
      </c>
      <c r="C83" s="3"/>
      <c r="D83" s="3" t="s">
        <v>269</v>
      </c>
      <c r="E83" s="7" t="s">
        <v>53</v>
      </c>
      <c r="F83" s="6" t="s">
        <v>96</v>
      </c>
      <c r="G83" s="6" t="s">
        <v>97</v>
      </c>
      <c r="H83" s="3"/>
    </row>
    <row r="84" spans="1:8" x14ac:dyDescent="0.25">
      <c r="A84" s="1">
        <v>87</v>
      </c>
      <c r="B84" s="3" t="s">
        <v>268</v>
      </c>
      <c r="C84" s="3"/>
      <c r="D84" s="3" t="s">
        <v>270</v>
      </c>
      <c r="E84" s="7" t="s">
        <v>53</v>
      </c>
      <c r="F84" s="6" t="s">
        <v>96</v>
      </c>
      <c r="G84" s="6" t="s">
        <v>97</v>
      </c>
      <c r="H84" s="3"/>
    </row>
    <row r="85" spans="1:8" x14ac:dyDescent="0.25">
      <c r="A85" s="1">
        <v>88</v>
      </c>
      <c r="B85" s="3" t="s">
        <v>268</v>
      </c>
      <c r="C85" s="3"/>
      <c r="D85" s="3" t="s">
        <v>271</v>
      </c>
      <c r="E85" s="7" t="s">
        <v>53</v>
      </c>
      <c r="F85" s="6" t="s">
        <v>96</v>
      </c>
      <c r="G85" s="6" t="s">
        <v>97</v>
      </c>
      <c r="H85" s="3"/>
    </row>
    <row r="86" spans="1:8" x14ac:dyDescent="0.25">
      <c r="A86" s="1">
        <v>89</v>
      </c>
      <c r="B86" s="3" t="s">
        <v>268</v>
      </c>
      <c r="C86" s="3"/>
      <c r="D86" s="3" t="s">
        <v>272</v>
      </c>
      <c r="E86" s="7" t="s">
        <v>95</v>
      </c>
      <c r="F86" s="6" t="s">
        <v>96</v>
      </c>
      <c r="G86" s="6" t="s">
        <v>97</v>
      </c>
      <c r="H86" s="3"/>
    </row>
    <row r="87" spans="1:8" x14ac:dyDescent="0.25">
      <c r="A87" s="1">
        <v>90</v>
      </c>
      <c r="B87" s="3" t="s">
        <v>268</v>
      </c>
      <c r="C87" s="3"/>
      <c r="D87" s="3" t="s">
        <v>273</v>
      </c>
      <c r="E87" s="7" t="s">
        <v>274</v>
      </c>
      <c r="F87" s="7" t="s">
        <v>275</v>
      </c>
      <c r="G87" s="6" t="s">
        <v>267</v>
      </c>
      <c r="H87" s="3"/>
    </row>
    <row r="88" spans="1:8" x14ac:dyDescent="0.25">
      <c r="A88" s="1">
        <v>91</v>
      </c>
      <c r="B88" s="3" t="s">
        <v>268</v>
      </c>
      <c r="C88" s="3"/>
      <c r="D88" s="3" t="s">
        <v>276</v>
      </c>
      <c r="E88" s="7" t="s">
        <v>95</v>
      </c>
      <c r="F88" s="6" t="s">
        <v>96</v>
      </c>
      <c r="G88" s="6" t="s">
        <v>97</v>
      </c>
      <c r="H88" s="3"/>
    </row>
    <row r="89" spans="1:8" x14ac:dyDescent="0.25">
      <c r="A89" s="1">
        <v>92</v>
      </c>
      <c r="B89" s="3" t="s">
        <v>268</v>
      </c>
      <c r="C89" s="3"/>
      <c r="D89" s="3" t="s">
        <v>277</v>
      </c>
      <c r="E89" s="7" t="s">
        <v>95</v>
      </c>
      <c r="F89" s="6" t="s">
        <v>96</v>
      </c>
      <c r="G89" s="6" t="s">
        <v>97</v>
      </c>
      <c r="H89" s="3"/>
    </row>
    <row r="90" spans="1:8" x14ac:dyDescent="0.25">
      <c r="A90" s="1">
        <v>93</v>
      </c>
      <c r="B90" s="3" t="s">
        <v>278</v>
      </c>
      <c r="C90" s="3"/>
      <c r="D90" s="3" t="s">
        <v>279</v>
      </c>
      <c r="E90" s="7" t="s">
        <v>95</v>
      </c>
      <c r="F90" s="7" t="s">
        <v>280</v>
      </c>
      <c r="G90" s="6" t="s">
        <v>55</v>
      </c>
      <c r="H90" s="3"/>
    </row>
    <row r="91" spans="1:8" x14ac:dyDescent="0.25">
      <c r="A91" s="1">
        <v>94</v>
      </c>
      <c r="B91" s="3" t="s">
        <v>278</v>
      </c>
      <c r="C91" s="3"/>
      <c r="D91" s="3" t="s">
        <v>281</v>
      </c>
      <c r="E91" s="7" t="s">
        <v>95</v>
      </c>
      <c r="F91" s="7" t="s">
        <v>280</v>
      </c>
      <c r="G91" s="6" t="s">
        <v>55</v>
      </c>
      <c r="H91" s="3"/>
    </row>
    <row r="92" spans="1:8" x14ac:dyDescent="0.25">
      <c r="A92" s="1">
        <v>95</v>
      </c>
      <c r="B92" s="3" t="s">
        <v>278</v>
      </c>
      <c r="C92" s="3"/>
      <c r="D92" s="3" t="s">
        <v>282</v>
      </c>
      <c r="E92" s="7" t="s">
        <v>95</v>
      </c>
      <c r="F92" s="7" t="s">
        <v>280</v>
      </c>
      <c r="G92" s="6" t="s">
        <v>55</v>
      </c>
      <c r="H92" s="3"/>
    </row>
    <row r="93" spans="1:8" x14ac:dyDescent="0.25">
      <c r="A93" s="1">
        <v>96</v>
      </c>
      <c r="B93" s="3" t="s">
        <v>278</v>
      </c>
      <c r="C93" s="3"/>
      <c r="D93" s="3" t="s">
        <v>283</v>
      </c>
      <c r="E93" s="7" t="s">
        <v>95</v>
      </c>
      <c r="F93" s="7" t="s">
        <v>284</v>
      </c>
      <c r="G93" s="6" t="s">
        <v>55</v>
      </c>
      <c r="H93" s="3"/>
    </row>
    <row r="94" spans="1:8" x14ac:dyDescent="0.25">
      <c r="A94" s="1">
        <v>97</v>
      </c>
      <c r="B94" s="3" t="s">
        <v>278</v>
      </c>
      <c r="C94" s="3"/>
      <c r="D94" s="3" t="s">
        <v>285</v>
      </c>
      <c r="E94" s="7" t="s">
        <v>148</v>
      </c>
      <c r="F94" s="7" t="s">
        <v>286</v>
      </c>
      <c r="G94" s="6" t="s">
        <v>55</v>
      </c>
      <c r="H94" s="3"/>
    </row>
    <row r="95" spans="1:8" x14ac:dyDescent="0.25">
      <c r="A95" s="1">
        <v>98</v>
      </c>
      <c r="B95" s="3" t="s">
        <v>278</v>
      </c>
      <c r="C95" s="3"/>
      <c r="D95" s="3" t="s">
        <v>287</v>
      </c>
      <c r="E95" s="7" t="s">
        <v>288</v>
      </c>
      <c r="F95" s="7" t="s">
        <v>289</v>
      </c>
      <c r="G95" s="6" t="s">
        <v>43</v>
      </c>
      <c r="H95" s="3"/>
    </row>
    <row r="96" spans="1:8" x14ac:dyDescent="0.25">
      <c r="A96" s="1">
        <v>99</v>
      </c>
      <c r="B96" s="3" t="s">
        <v>278</v>
      </c>
      <c r="C96" s="3"/>
      <c r="D96" s="3" t="s">
        <v>290</v>
      </c>
      <c r="E96" s="7" t="s">
        <v>288</v>
      </c>
      <c r="F96" s="7" t="s">
        <v>289</v>
      </c>
      <c r="G96" s="6" t="s">
        <v>43</v>
      </c>
      <c r="H96" s="3"/>
    </row>
    <row r="97" spans="1:8" x14ac:dyDescent="0.25">
      <c r="A97" s="1">
        <v>100</v>
      </c>
      <c r="B97" s="3" t="s">
        <v>278</v>
      </c>
      <c r="C97" s="3"/>
      <c r="D97" s="3" t="s">
        <v>291</v>
      </c>
      <c r="E97" s="7" t="s">
        <v>95</v>
      </c>
      <c r="F97" s="7" t="s">
        <v>284</v>
      </c>
      <c r="G97" s="6" t="s">
        <v>55</v>
      </c>
      <c r="H97" s="3"/>
    </row>
    <row r="98" spans="1:8" x14ac:dyDescent="0.25">
      <c r="A98" s="1">
        <v>101</v>
      </c>
      <c r="B98" s="3" t="s">
        <v>278</v>
      </c>
      <c r="C98" s="3"/>
      <c r="D98" s="3" t="s">
        <v>292</v>
      </c>
      <c r="E98" s="7" t="s">
        <v>293</v>
      </c>
      <c r="F98" s="7" t="s">
        <v>284</v>
      </c>
      <c r="G98" s="6" t="s">
        <v>55</v>
      </c>
      <c r="H98" s="3"/>
    </row>
  </sheetData>
  <pageMargins left="0.7" right="0.7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7"/>
  <sheetViews>
    <sheetView workbookViewId="0">
      <selection activeCell="C35" sqref="C35"/>
    </sheetView>
  </sheetViews>
  <sheetFormatPr baseColWidth="10" defaultColWidth="11.42578125" defaultRowHeight="15" x14ac:dyDescent="0.25"/>
  <cols>
    <col min="2" max="2" width="12.5703125" bestFit="1" customWidth="1"/>
    <col min="4" max="4" width="23.140625" bestFit="1" customWidth="1"/>
  </cols>
  <sheetData>
    <row r="1" spans="1:11" x14ac:dyDescent="0.25">
      <c r="A1" s="1"/>
      <c r="B1" s="1" t="s">
        <v>0</v>
      </c>
      <c r="C1" s="1" t="s">
        <v>2</v>
      </c>
      <c r="D1" s="2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</row>
    <row r="2" spans="1:11" x14ac:dyDescent="0.25">
      <c r="A2" s="1">
        <v>1</v>
      </c>
      <c r="B2" s="1" t="s">
        <v>6</v>
      </c>
      <c r="C2" s="1" t="s">
        <v>8</v>
      </c>
      <c r="D2" s="1" t="s">
        <v>12</v>
      </c>
      <c r="E2" s="1" t="s">
        <v>302</v>
      </c>
      <c r="F2" s="1" t="s">
        <v>302</v>
      </c>
      <c r="G2" s="1" t="s">
        <v>302</v>
      </c>
      <c r="H2" s="1" t="s">
        <v>302</v>
      </c>
      <c r="I2" s="1"/>
      <c r="J2" s="1" t="s">
        <v>303</v>
      </c>
      <c r="K2" s="1" t="s">
        <v>303</v>
      </c>
    </row>
    <row r="3" spans="1:11" x14ac:dyDescent="0.25">
      <c r="A3" s="1">
        <v>2</v>
      </c>
      <c r="B3" s="1" t="s">
        <v>13</v>
      </c>
      <c r="C3" s="1" t="s">
        <v>14</v>
      </c>
      <c r="D3" s="1" t="s">
        <v>16</v>
      </c>
      <c r="E3" s="1" t="s">
        <v>302</v>
      </c>
      <c r="F3" s="1" t="s">
        <v>302</v>
      </c>
      <c r="G3" s="1" t="s">
        <v>302</v>
      </c>
      <c r="H3" s="1" t="s">
        <v>302</v>
      </c>
      <c r="I3" s="1"/>
      <c r="J3" s="1" t="s">
        <v>303</v>
      </c>
      <c r="K3" s="1" t="s">
        <v>303</v>
      </c>
    </row>
    <row r="4" spans="1:11" x14ac:dyDescent="0.25">
      <c r="A4" s="1">
        <v>3</v>
      </c>
      <c r="B4" s="1" t="s">
        <v>17</v>
      </c>
      <c r="C4" s="1" t="s">
        <v>19</v>
      </c>
      <c r="D4" s="1" t="s">
        <v>21</v>
      </c>
      <c r="E4" s="1" t="s">
        <v>302</v>
      </c>
      <c r="F4" s="1" t="s">
        <v>302</v>
      </c>
      <c r="G4" s="1" t="s">
        <v>302</v>
      </c>
      <c r="H4" s="1" t="s">
        <v>302</v>
      </c>
      <c r="I4" s="1"/>
      <c r="J4" s="1" t="s">
        <v>303</v>
      </c>
      <c r="K4" s="1" t="s">
        <v>303</v>
      </c>
    </row>
    <row r="5" spans="1:11" x14ac:dyDescent="0.25">
      <c r="A5" s="1">
        <v>4</v>
      </c>
      <c r="B5" s="1" t="s">
        <v>22</v>
      </c>
      <c r="C5" s="1" t="s">
        <v>23</v>
      </c>
      <c r="D5" s="1" t="s">
        <v>26</v>
      </c>
      <c r="E5" s="1" t="s">
        <v>302</v>
      </c>
      <c r="F5" s="1" t="s">
        <v>302</v>
      </c>
      <c r="G5" s="1" t="s">
        <v>302</v>
      </c>
      <c r="H5" s="1" t="s">
        <v>302</v>
      </c>
      <c r="I5" s="1"/>
      <c r="J5" s="1" t="s">
        <v>303</v>
      </c>
      <c r="K5" s="1" t="s">
        <v>303</v>
      </c>
    </row>
    <row r="6" spans="1:11" x14ac:dyDescent="0.25">
      <c r="A6" s="1">
        <v>5</v>
      </c>
      <c r="B6" s="1" t="s">
        <v>27</v>
      </c>
      <c r="C6" s="1" t="s">
        <v>28</v>
      </c>
      <c r="D6" s="1" t="s">
        <v>29</v>
      </c>
      <c r="E6" s="1" t="s">
        <v>302</v>
      </c>
      <c r="F6" s="1" t="s">
        <v>302</v>
      </c>
      <c r="G6" s="1" t="s">
        <v>302</v>
      </c>
      <c r="H6" s="1" t="s">
        <v>302</v>
      </c>
      <c r="I6" s="1"/>
      <c r="J6" s="1" t="s">
        <v>303</v>
      </c>
      <c r="K6" s="1" t="s">
        <v>303</v>
      </c>
    </row>
    <row r="7" spans="1:11" x14ac:dyDescent="0.25">
      <c r="A7" s="1">
        <v>6</v>
      </c>
      <c r="B7" s="1" t="s">
        <v>30</v>
      </c>
      <c r="C7" s="1" t="s">
        <v>31</v>
      </c>
      <c r="D7" s="1" t="s">
        <v>32</v>
      </c>
      <c r="E7" s="1" t="s">
        <v>302</v>
      </c>
      <c r="F7" s="1" t="s">
        <v>302</v>
      </c>
      <c r="G7" s="1" t="s">
        <v>302</v>
      </c>
      <c r="H7" s="1" t="s">
        <v>302</v>
      </c>
      <c r="I7" s="1"/>
      <c r="J7" s="1" t="s">
        <v>303</v>
      </c>
      <c r="K7" s="1" t="s">
        <v>303</v>
      </c>
    </row>
    <row r="8" spans="1:11" x14ac:dyDescent="0.25">
      <c r="A8" s="1">
        <v>7</v>
      </c>
      <c r="B8" s="1" t="s">
        <v>33</v>
      </c>
      <c r="C8" s="1" t="s">
        <v>34</v>
      </c>
      <c r="D8" s="1" t="s">
        <v>35</v>
      </c>
      <c r="E8" s="1" t="s">
        <v>302</v>
      </c>
      <c r="F8" s="1" t="s">
        <v>302</v>
      </c>
      <c r="G8" s="1" t="s">
        <v>302</v>
      </c>
      <c r="H8" s="1" t="s">
        <v>302</v>
      </c>
      <c r="I8" s="1"/>
      <c r="J8" s="1" t="s">
        <v>303</v>
      </c>
      <c r="K8" s="1" t="s">
        <v>303</v>
      </c>
    </row>
    <row r="9" spans="1:11" x14ac:dyDescent="0.25">
      <c r="A9" s="1">
        <v>8</v>
      </c>
      <c r="B9" s="1" t="s">
        <v>36</v>
      </c>
      <c r="C9" s="1" t="s">
        <v>304</v>
      </c>
      <c r="D9" s="1" t="s">
        <v>39</v>
      </c>
      <c r="E9" s="1" t="s">
        <v>302</v>
      </c>
      <c r="F9" s="1" t="s">
        <v>302</v>
      </c>
      <c r="G9" s="1" t="s">
        <v>302</v>
      </c>
      <c r="H9" s="1" t="s">
        <v>302</v>
      </c>
      <c r="I9" s="1"/>
      <c r="J9" s="1" t="s">
        <v>303</v>
      </c>
      <c r="K9" s="1" t="s">
        <v>303</v>
      </c>
    </row>
    <row r="10" spans="1:11" x14ac:dyDescent="0.25">
      <c r="A10" s="1">
        <v>9</v>
      </c>
      <c r="B10" s="1" t="s">
        <v>40</v>
      </c>
      <c r="C10" s="1" t="s">
        <v>41</v>
      </c>
      <c r="D10" s="1" t="s">
        <v>44</v>
      </c>
      <c r="E10" s="1" t="s">
        <v>302</v>
      </c>
      <c r="F10" s="1" t="s">
        <v>302</v>
      </c>
      <c r="G10" s="1" t="s">
        <v>302</v>
      </c>
      <c r="H10" s="1" t="s">
        <v>302</v>
      </c>
      <c r="I10" s="1"/>
      <c r="J10" s="1" t="s">
        <v>302</v>
      </c>
      <c r="K10" s="1" t="s">
        <v>303</v>
      </c>
    </row>
    <row r="11" spans="1:11" x14ac:dyDescent="0.25">
      <c r="A11" s="1">
        <v>10</v>
      </c>
      <c r="B11" s="1" t="s">
        <v>45</v>
      </c>
      <c r="C11" s="1" t="s">
        <v>46</v>
      </c>
      <c r="D11" s="1" t="s">
        <v>47</v>
      </c>
      <c r="E11" s="1" t="s">
        <v>302</v>
      </c>
      <c r="F11" s="1" t="s">
        <v>302</v>
      </c>
      <c r="G11" s="1" t="s">
        <v>302</v>
      </c>
      <c r="H11" s="1" t="s">
        <v>302</v>
      </c>
      <c r="I11" s="1"/>
      <c r="J11" s="1" t="s">
        <v>303</v>
      </c>
      <c r="K11" s="1" t="s">
        <v>303</v>
      </c>
    </row>
    <row r="12" spans="1:11" x14ac:dyDescent="0.25">
      <c r="A12" s="1">
        <v>11</v>
      </c>
      <c r="B12" s="1" t="s">
        <v>48</v>
      </c>
      <c r="C12" s="1" t="s">
        <v>49</v>
      </c>
      <c r="D12" s="1" t="s">
        <v>50</v>
      </c>
      <c r="E12" s="1" t="s">
        <v>302</v>
      </c>
      <c r="F12" s="1" t="s">
        <v>302</v>
      </c>
      <c r="G12" s="1" t="s">
        <v>302</v>
      </c>
      <c r="H12" s="1" t="s">
        <v>302</v>
      </c>
      <c r="I12" s="1"/>
      <c r="J12" s="1" t="s">
        <v>303</v>
      </c>
      <c r="K12" s="1" t="s">
        <v>303</v>
      </c>
    </row>
    <row r="13" spans="1:11" x14ac:dyDescent="0.25">
      <c r="A13" s="1">
        <v>12</v>
      </c>
      <c r="B13" s="1" t="s">
        <v>63</v>
      </c>
      <c r="C13" s="1" t="s">
        <v>64</v>
      </c>
      <c r="D13" s="1" t="s">
        <v>67</v>
      </c>
      <c r="E13" s="1" t="s">
        <v>302</v>
      </c>
      <c r="F13" s="1" t="s">
        <v>302</v>
      </c>
      <c r="G13" s="1" t="s">
        <v>302</v>
      </c>
      <c r="H13" s="1" t="s">
        <v>302</v>
      </c>
      <c r="I13" s="1"/>
      <c r="J13" s="1" t="s">
        <v>303</v>
      </c>
      <c r="K13" s="1" t="s">
        <v>302</v>
      </c>
    </row>
    <row r="14" spans="1:11" x14ac:dyDescent="0.25">
      <c r="A14" s="1">
        <v>13</v>
      </c>
      <c r="B14" s="1" t="s">
        <v>71</v>
      </c>
      <c r="C14" s="1" t="s">
        <v>72</v>
      </c>
      <c r="D14" s="1" t="s">
        <v>73</v>
      </c>
      <c r="E14" s="1" t="s">
        <v>302</v>
      </c>
      <c r="F14" s="1" t="s">
        <v>302</v>
      </c>
      <c r="G14" s="1" t="s">
        <v>302</v>
      </c>
      <c r="H14" s="1" t="s">
        <v>302</v>
      </c>
      <c r="I14" s="1"/>
      <c r="J14" s="1" t="s">
        <v>303</v>
      </c>
      <c r="K14" s="1" t="s">
        <v>303</v>
      </c>
    </row>
    <row r="15" spans="1:11" x14ac:dyDescent="0.25">
      <c r="A15" s="1">
        <v>14</v>
      </c>
      <c r="B15" s="1" t="s">
        <v>74</v>
      </c>
      <c r="C15" s="1" t="s">
        <v>75</v>
      </c>
      <c r="D15" s="1" t="s">
        <v>77</v>
      </c>
      <c r="E15" s="1" t="s">
        <v>302</v>
      </c>
      <c r="F15" s="1" t="s">
        <v>302</v>
      </c>
      <c r="G15" s="1" t="s">
        <v>302</v>
      </c>
      <c r="H15" s="1" t="s">
        <v>302</v>
      </c>
      <c r="I15" s="1"/>
      <c r="J15" s="1" t="s">
        <v>303</v>
      </c>
      <c r="K15" s="1" t="s">
        <v>303</v>
      </c>
    </row>
    <row r="16" spans="1:11" x14ac:dyDescent="0.25">
      <c r="A16" s="1">
        <v>15</v>
      </c>
      <c r="B16" s="1" t="s">
        <v>78</v>
      </c>
      <c r="C16" s="1" t="s">
        <v>79</v>
      </c>
      <c r="D16" s="1" t="s">
        <v>80</v>
      </c>
      <c r="E16" s="1" t="s">
        <v>302</v>
      </c>
      <c r="F16" s="1" t="s">
        <v>302</v>
      </c>
      <c r="G16" s="1" t="s">
        <v>302</v>
      </c>
      <c r="H16" s="1" t="s">
        <v>302</v>
      </c>
      <c r="I16" s="1"/>
      <c r="J16" s="1" t="s">
        <v>303</v>
      </c>
      <c r="K16" s="1" t="s">
        <v>303</v>
      </c>
    </row>
    <row r="17" spans="1:11" x14ac:dyDescent="0.25">
      <c r="A17" s="1">
        <v>16</v>
      </c>
      <c r="B17" s="1" t="s">
        <v>81</v>
      </c>
      <c r="C17" s="1" t="s">
        <v>82</v>
      </c>
      <c r="D17" s="1" t="s">
        <v>83</v>
      </c>
      <c r="E17" s="1" t="s">
        <v>302</v>
      </c>
      <c r="F17" s="1" t="s">
        <v>302</v>
      </c>
      <c r="G17" s="1" t="s">
        <v>302</v>
      </c>
      <c r="H17" s="1" t="s">
        <v>302</v>
      </c>
      <c r="I17" s="1"/>
      <c r="J17" s="1" t="s">
        <v>302</v>
      </c>
      <c r="K17" s="1" t="s">
        <v>303</v>
      </c>
    </row>
    <row r="18" spans="1:11" x14ac:dyDescent="0.25">
      <c r="A18" s="1">
        <v>17</v>
      </c>
      <c r="B18" s="1" t="s">
        <v>84</v>
      </c>
      <c r="C18" s="1" t="s">
        <v>85</v>
      </c>
      <c r="D18" s="1" t="s">
        <v>86</v>
      </c>
      <c r="E18" s="1" t="s">
        <v>302</v>
      </c>
      <c r="F18" s="1" t="s">
        <v>302</v>
      </c>
      <c r="G18" s="1" t="s">
        <v>302</v>
      </c>
      <c r="H18" s="1" t="s">
        <v>302</v>
      </c>
      <c r="I18" s="1"/>
      <c r="J18" s="1" t="s">
        <v>302</v>
      </c>
      <c r="K18" s="1" t="s">
        <v>303</v>
      </c>
    </row>
    <row r="19" spans="1:11" x14ac:dyDescent="0.25">
      <c r="A19" s="1">
        <v>18</v>
      </c>
      <c r="B19" s="1" t="s">
        <v>87</v>
      </c>
      <c r="C19" s="1" t="s">
        <v>88</v>
      </c>
      <c r="D19" s="1" t="s">
        <v>89</v>
      </c>
      <c r="E19" s="1" t="s">
        <v>302</v>
      </c>
      <c r="F19" s="1" t="s">
        <v>302</v>
      </c>
      <c r="G19" s="1" t="s">
        <v>302</v>
      </c>
      <c r="H19" s="1" t="s">
        <v>302</v>
      </c>
      <c r="I19" s="1"/>
      <c r="J19" s="1" t="s">
        <v>302</v>
      </c>
      <c r="K19" s="1" t="s">
        <v>302</v>
      </c>
    </row>
    <row r="20" spans="1:11" x14ac:dyDescent="0.25">
      <c r="A20" s="1">
        <v>19</v>
      </c>
      <c r="B20" s="1" t="s">
        <v>90</v>
      </c>
      <c r="C20" s="1" t="s">
        <v>91</v>
      </c>
      <c r="D20" s="1" t="s">
        <v>92</v>
      </c>
      <c r="E20" s="1" t="s">
        <v>302</v>
      </c>
      <c r="F20" s="1" t="s">
        <v>302</v>
      </c>
      <c r="G20" s="1" t="s">
        <v>302</v>
      </c>
      <c r="H20" s="1" t="s">
        <v>302</v>
      </c>
      <c r="I20" s="1"/>
      <c r="J20" s="1" t="s">
        <v>303</v>
      </c>
      <c r="K20" s="1" t="s">
        <v>303</v>
      </c>
    </row>
    <row r="21" spans="1:11" x14ac:dyDescent="0.25">
      <c r="A21" s="1">
        <v>20</v>
      </c>
      <c r="B21" s="1" t="s">
        <v>111</v>
      </c>
      <c r="C21" s="1" t="s">
        <v>112</v>
      </c>
      <c r="D21" s="1" t="s">
        <v>305</v>
      </c>
      <c r="E21" s="1" t="s">
        <v>302</v>
      </c>
      <c r="F21" s="1" t="s">
        <v>302</v>
      </c>
      <c r="G21" s="1" t="s">
        <v>302</v>
      </c>
      <c r="H21" s="1" t="s">
        <v>302</v>
      </c>
      <c r="I21" s="1"/>
      <c r="J21" s="1" t="s">
        <v>303</v>
      </c>
      <c r="K21" s="1" t="s">
        <v>302</v>
      </c>
    </row>
    <row r="22" spans="1:11" x14ac:dyDescent="0.25">
      <c r="A22" s="1">
        <v>21</v>
      </c>
      <c r="B22" s="1" t="s">
        <v>114</v>
      </c>
      <c r="C22" s="1" t="s">
        <v>115</v>
      </c>
      <c r="D22" s="1" t="s">
        <v>116</v>
      </c>
      <c r="E22" s="1" t="s">
        <v>302</v>
      </c>
      <c r="F22" s="1" t="s">
        <v>302</v>
      </c>
      <c r="G22" s="1" t="s">
        <v>302</v>
      </c>
      <c r="H22" s="1" t="s">
        <v>302</v>
      </c>
      <c r="I22" s="1"/>
      <c r="J22" s="1" t="s">
        <v>303</v>
      </c>
      <c r="K22" s="1" t="s">
        <v>303</v>
      </c>
    </row>
    <row r="23" spans="1:11" x14ac:dyDescent="0.25">
      <c r="A23" s="1">
        <v>22</v>
      </c>
      <c r="B23" s="1" t="s">
        <v>117</v>
      </c>
      <c r="C23" s="1" t="s">
        <v>118</v>
      </c>
      <c r="D23" s="1" t="s">
        <v>119</v>
      </c>
      <c r="E23" s="1" t="s">
        <v>302</v>
      </c>
      <c r="F23" s="1" t="s">
        <v>302</v>
      </c>
      <c r="G23" s="1" t="s">
        <v>302</v>
      </c>
      <c r="H23" s="1" t="s">
        <v>302</v>
      </c>
      <c r="I23" s="1"/>
      <c r="J23" s="1" t="s">
        <v>302</v>
      </c>
      <c r="K23" s="1" t="s">
        <v>303</v>
      </c>
    </row>
    <row r="24" spans="1:11" x14ac:dyDescent="0.25">
      <c r="A24" s="1">
        <v>23</v>
      </c>
      <c r="B24" s="1" t="s">
        <v>120</v>
      </c>
      <c r="C24" s="1" t="s">
        <v>121</v>
      </c>
      <c r="D24" s="1" t="s">
        <v>122</v>
      </c>
      <c r="E24" s="1" t="s">
        <v>302</v>
      </c>
      <c r="F24" s="1" t="s">
        <v>302</v>
      </c>
      <c r="G24" s="1" t="s">
        <v>302</v>
      </c>
      <c r="H24" s="1" t="s">
        <v>302</v>
      </c>
      <c r="I24" s="1"/>
      <c r="J24" s="1" t="s">
        <v>302</v>
      </c>
      <c r="K24" s="1" t="s">
        <v>303</v>
      </c>
    </row>
    <row r="25" spans="1:11" x14ac:dyDescent="0.25">
      <c r="A25" s="1">
        <v>24</v>
      </c>
      <c r="B25" s="1" t="s">
        <v>123</v>
      </c>
      <c r="C25" s="1" t="s">
        <v>124</v>
      </c>
      <c r="D25" s="1" t="s">
        <v>125</v>
      </c>
      <c r="E25" s="1" t="s">
        <v>302</v>
      </c>
      <c r="F25" s="1" t="s">
        <v>302</v>
      </c>
      <c r="G25" s="1" t="s">
        <v>302</v>
      </c>
      <c r="H25" s="1" t="s">
        <v>302</v>
      </c>
      <c r="I25" s="1"/>
      <c r="J25" s="1" t="s">
        <v>303</v>
      </c>
      <c r="K25" s="1" t="s">
        <v>303</v>
      </c>
    </row>
    <row r="26" spans="1:11" x14ac:dyDescent="0.25">
      <c r="A26" s="1">
        <v>25</v>
      </c>
      <c r="B26" s="1" t="s">
        <v>126</v>
      </c>
      <c r="C26" s="1" t="s">
        <v>127</v>
      </c>
      <c r="D26" s="1" t="s">
        <v>128</v>
      </c>
      <c r="E26" s="1" t="s">
        <v>302</v>
      </c>
      <c r="F26" s="1" t="s">
        <v>302</v>
      </c>
      <c r="G26" s="1" t="s">
        <v>302</v>
      </c>
      <c r="H26" s="1" t="s">
        <v>302</v>
      </c>
      <c r="I26" s="1"/>
      <c r="J26" s="1" t="s">
        <v>303</v>
      </c>
      <c r="K26" s="1" t="s">
        <v>303</v>
      </c>
    </row>
    <row r="27" spans="1:11" x14ac:dyDescent="0.25">
      <c r="A27" s="1">
        <v>26</v>
      </c>
      <c r="B27" s="1" t="s">
        <v>176</v>
      </c>
      <c r="C27" s="1" t="s">
        <v>177</v>
      </c>
      <c r="D27" s="1" t="s">
        <v>178</v>
      </c>
      <c r="E27" s="1" t="s">
        <v>302</v>
      </c>
      <c r="F27" s="1" t="s">
        <v>302</v>
      </c>
      <c r="G27" s="1" t="s">
        <v>302</v>
      </c>
      <c r="H27" s="1" t="s">
        <v>302</v>
      </c>
      <c r="I27" s="1"/>
      <c r="J27" s="1" t="s">
        <v>303</v>
      </c>
      <c r="K27" s="1" t="s">
        <v>303</v>
      </c>
    </row>
    <row r="28" spans="1:11" x14ac:dyDescent="0.25">
      <c r="A28" s="1">
        <v>27</v>
      </c>
      <c r="B28" s="1" t="s">
        <v>179</v>
      </c>
      <c r="C28" s="1" t="s">
        <v>180</v>
      </c>
      <c r="D28" s="1" t="s">
        <v>182</v>
      </c>
      <c r="E28" s="1" t="s">
        <v>302</v>
      </c>
      <c r="F28" s="1" t="s">
        <v>302</v>
      </c>
      <c r="G28" s="1" t="s">
        <v>302</v>
      </c>
      <c r="H28" s="1" t="s">
        <v>302</v>
      </c>
      <c r="I28" s="1"/>
      <c r="J28" s="1" t="s">
        <v>302</v>
      </c>
      <c r="K28" s="1" t="s">
        <v>303</v>
      </c>
    </row>
    <row r="29" spans="1:11" x14ac:dyDescent="0.25">
      <c r="A29" s="1">
        <v>28</v>
      </c>
      <c r="B29" s="1" t="s">
        <v>183</v>
      </c>
      <c r="C29" s="1" t="s">
        <v>184</v>
      </c>
      <c r="D29" s="1" t="s">
        <v>185</v>
      </c>
      <c r="E29" s="1" t="s">
        <v>302</v>
      </c>
      <c r="F29" s="1" t="s">
        <v>302</v>
      </c>
      <c r="G29" s="1" t="s">
        <v>302</v>
      </c>
      <c r="H29" s="1" t="s">
        <v>302</v>
      </c>
      <c r="I29" s="1"/>
      <c r="J29" s="1" t="s">
        <v>302</v>
      </c>
      <c r="K29" s="1" t="s">
        <v>302</v>
      </c>
    </row>
    <row r="30" spans="1:11" x14ac:dyDescent="0.25">
      <c r="A30" s="1">
        <v>29</v>
      </c>
      <c r="B30" s="1" t="s">
        <v>186</v>
      </c>
      <c r="C30" s="1" t="s">
        <v>187</v>
      </c>
      <c r="D30" s="1" t="s">
        <v>188</v>
      </c>
      <c r="E30" s="1" t="s">
        <v>302</v>
      </c>
      <c r="F30" s="1" t="s">
        <v>302</v>
      </c>
      <c r="G30" s="1" t="s">
        <v>302</v>
      </c>
      <c r="H30" s="1" t="s">
        <v>302</v>
      </c>
      <c r="I30" s="1"/>
      <c r="J30" s="1" t="s">
        <v>303</v>
      </c>
      <c r="K30" s="1" t="s">
        <v>303</v>
      </c>
    </row>
    <row r="31" spans="1:11" x14ac:dyDescent="0.25">
      <c r="A31" s="1">
        <v>30</v>
      </c>
      <c r="B31" s="1" t="s">
        <v>189</v>
      </c>
      <c r="C31" s="1" t="s">
        <v>190</v>
      </c>
      <c r="D31" s="1" t="s">
        <v>191</v>
      </c>
      <c r="E31" s="1" t="s">
        <v>302</v>
      </c>
      <c r="F31" s="1" t="s">
        <v>302</v>
      </c>
      <c r="G31" s="1" t="s">
        <v>302</v>
      </c>
      <c r="H31" s="1" t="s">
        <v>302</v>
      </c>
      <c r="I31" s="1"/>
      <c r="J31" s="1" t="s">
        <v>303</v>
      </c>
      <c r="K31" s="1" t="s">
        <v>303</v>
      </c>
    </row>
    <row r="32" spans="1:11" x14ac:dyDescent="0.25">
      <c r="A32" s="1">
        <v>31</v>
      </c>
      <c r="B32" s="1" t="s">
        <v>212</v>
      </c>
      <c r="C32" s="1" t="s">
        <v>213</v>
      </c>
      <c r="D32" s="1" t="s">
        <v>214</v>
      </c>
      <c r="E32" s="1" t="s">
        <v>302</v>
      </c>
      <c r="F32" s="1" t="s">
        <v>302</v>
      </c>
      <c r="G32" s="1" t="s">
        <v>302</v>
      </c>
      <c r="H32" s="1" t="s">
        <v>302</v>
      </c>
      <c r="I32" s="1"/>
      <c r="J32" s="1" t="s">
        <v>303</v>
      </c>
      <c r="K32" s="1" t="s">
        <v>303</v>
      </c>
    </row>
    <row r="33" spans="1:11" x14ac:dyDescent="0.25">
      <c r="A33" s="1">
        <v>32</v>
      </c>
      <c r="B33" s="1" t="s">
        <v>215</v>
      </c>
      <c r="C33" s="1" t="s">
        <v>216</v>
      </c>
      <c r="D33" s="1" t="s">
        <v>217</v>
      </c>
      <c r="E33" s="1" t="s">
        <v>302</v>
      </c>
      <c r="F33" s="1" t="s">
        <v>302</v>
      </c>
      <c r="G33" s="1" t="s">
        <v>302</v>
      </c>
      <c r="H33" s="1" t="s">
        <v>302</v>
      </c>
      <c r="I33" s="1"/>
      <c r="J33" s="1" t="s">
        <v>303</v>
      </c>
      <c r="K33" s="1" t="s">
        <v>303</v>
      </c>
    </row>
    <row r="34" spans="1:11" x14ac:dyDescent="0.25">
      <c r="A34" s="1">
        <v>33</v>
      </c>
      <c r="B34" s="1" t="s">
        <v>218</v>
      </c>
      <c r="C34" s="1" t="s">
        <v>219</v>
      </c>
      <c r="D34" s="1" t="s">
        <v>220</v>
      </c>
      <c r="E34" s="1" t="s">
        <v>302</v>
      </c>
      <c r="F34" s="1" t="s">
        <v>302</v>
      </c>
      <c r="G34" s="1" t="s">
        <v>302</v>
      </c>
      <c r="H34" s="1" t="s">
        <v>302</v>
      </c>
      <c r="I34" s="1"/>
      <c r="J34" s="1" t="s">
        <v>303</v>
      </c>
      <c r="K34" s="1" t="s">
        <v>303</v>
      </c>
    </row>
    <row r="35" spans="1:11" x14ac:dyDescent="0.25">
      <c r="A35" s="1">
        <v>34</v>
      </c>
      <c r="B35" s="1" t="s">
        <v>221</v>
      </c>
      <c r="C35" s="1" t="s">
        <v>222</v>
      </c>
      <c r="D35" s="1" t="s">
        <v>223</v>
      </c>
      <c r="E35" s="1" t="s">
        <v>302</v>
      </c>
      <c r="F35" s="1" t="s">
        <v>302</v>
      </c>
      <c r="G35" s="1" t="s">
        <v>302</v>
      </c>
      <c r="H35" s="1" t="s">
        <v>302</v>
      </c>
      <c r="I35" s="1"/>
      <c r="J35" s="1" t="s">
        <v>302</v>
      </c>
      <c r="K35" s="1" t="s">
        <v>303</v>
      </c>
    </row>
    <row r="36" spans="1:11" x14ac:dyDescent="0.25">
      <c r="A36" s="1">
        <v>35</v>
      </c>
      <c r="B36" s="1" t="s">
        <v>224</v>
      </c>
      <c r="C36" s="1" t="s">
        <v>225</v>
      </c>
      <c r="D36" s="1" t="s">
        <v>226</v>
      </c>
      <c r="E36" s="1" t="s">
        <v>302</v>
      </c>
      <c r="F36" s="1" t="s">
        <v>302</v>
      </c>
      <c r="G36" s="1" t="s">
        <v>302</v>
      </c>
      <c r="H36" s="1" t="s">
        <v>302</v>
      </c>
      <c r="I36" s="1"/>
      <c r="J36" s="1" t="s">
        <v>303</v>
      </c>
      <c r="K36" s="1" t="s">
        <v>303</v>
      </c>
    </row>
    <row r="37" spans="1:11" x14ac:dyDescent="0.25">
      <c r="A37" s="1">
        <v>36</v>
      </c>
      <c r="B37" s="1" t="s">
        <v>227</v>
      </c>
      <c r="C37" s="1" t="s">
        <v>228</v>
      </c>
      <c r="D37" s="1" t="s">
        <v>230</v>
      </c>
      <c r="E37" s="1" t="s">
        <v>302</v>
      </c>
      <c r="F37" s="1" t="s">
        <v>302</v>
      </c>
      <c r="G37" s="1" t="s">
        <v>302</v>
      </c>
      <c r="H37" s="1" t="s">
        <v>302</v>
      </c>
      <c r="I37" s="1"/>
      <c r="J37" s="1" t="s">
        <v>303</v>
      </c>
      <c r="K37" s="1" t="s">
        <v>303</v>
      </c>
    </row>
  </sheetData>
  <pageMargins left="0.7" right="0.7" top="0.78740157499999996" bottom="0.78740157499999996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4"/>
  <sheetViews>
    <sheetView zoomScaleNormal="100" workbookViewId="0">
      <selection activeCell="B76" sqref="B2:B76"/>
    </sheetView>
  </sheetViews>
  <sheetFormatPr baseColWidth="10" defaultColWidth="11.42578125" defaultRowHeight="15" x14ac:dyDescent="0.25"/>
  <cols>
    <col min="1" max="1" width="15.28515625" bestFit="1" customWidth="1"/>
    <col min="2" max="2" width="22.85546875" customWidth="1"/>
    <col min="3" max="3" width="30.85546875" customWidth="1"/>
    <col min="4" max="4" width="66.85546875" customWidth="1"/>
    <col min="5" max="5" width="9.7109375" customWidth="1"/>
    <col min="6" max="6" width="46.42578125" customWidth="1"/>
    <col min="7" max="7" width="30.7109375" customWidth="1"/>
    <col min="10" max="10" width="22.42578125" customWidth="1"/>
    <col min="11" max="11" width="27.5703125" style="43" customWidth="1"/>
    <col min="12" max="12" width="34.5703125" style="41" customWidth="1"/>
    <col min="14" max="14" width="75.7109375" customWidth="1"/>
  </cols>
  <sheetData>
    <row r="1" spans="1:14" x14ac:dyDescent="0.25">
      <c r="A1" s="30" t="s">
        <v>306</v>
      </c>
      <c r="B1" s="20" t="s">
        <v>0</v>
      </c>
      <c r="C1" s="20" t="s">
        <v>2</v>
      </c>
      <c r="D1" s="23" t="s">
        <v>294</v>
      </c>
      <c r="E1" s="23"/>
      <c r="F1" s="23"/>
      <c r="G1" s="31"/>
    </row>
    <row r="2" spans="1:14" x14ac:dyDescent="0.25">
      <c r="A2" s="87">
        <v>1</v>
      </c>
      <c r="B2" s="23" t="s">
        <v>36</v>
      </c>
      <c r="C2" s="21" t="s">
        <v>264</v>
      </c>
      <c r="D2" s="35" t="s">
        <v>307</v>
      </c>
      <c r="E2" s="21" t="s">
        <v>308</v>
      </c>
      <c r="F2" s="23" t="s">
        <v>309</v>
      </c>
      <c r="G2" s="31"/>
    </row>
    <row r="3" spans="1:14" x14ac:dyDescent="0.25">
      <c r="A3" s="87">
        <v>2</v>
      </c>
      <c r="B3" s="23" t="s">
        <v>310</v>
      </c>
      <c r="C3" s="23" t="s">
        <v>23</v>
      </c>
      <c r="D3" s="49" t="s">
        <v>311</v>
      </c>
      <c r="E3" s="21" t="s">
        <v>312</v>
      </c>
      <c r="F3" s="173" t="s">
        <v>313</v>
      </c>
      <c r="G3" s="32"/>
    </row>
    <row r="4" spans="1:14" x14ac:dyDescent="0.25">
      <c r="A4" s="87">
        <v>3</v>
      </c>
      <c r="B4" s="23" t="s">
        <v>314</v>
      </c>
      <c r="C4" s="23" t="s">
        <v>315</v>
      </c>
      <c r="D4" s="49" t="s">
        <v>316</v>
      </c>
      <c r="E4" s="21" t="s">
        <v>312</v>
      </c>
      <c r="F4" s="75" t="s">
        <v>317</v>
      </c>
      <c r="G4" s="33"/>
      <c r="J4" s="50"/>
    </row>
    <row r="5" spans="1:14" x14ac:dyDescent="0.25">
      <c r="A5" s="87">
        <v>4</v>
      </c>
      <c r="B5" s="23" t="s">
        <v>318</v>
      </c>
      <c r="C5" s="23" t="s">
        <v>19</v>
      </c>
      <c r="D5" s="95" t="s">
        <v>319</v>
      </c>
      <c r="E5" s="21" t="s">
        <v>312</v>
      </c>
      <c r="F5" s="171" t="s">
        <v>175</v>
      </c>
      <c r="G5" s="33"/>
      <c r="H5" s="21" t="s">
        <v>320</v>
      </c>
      <c r="I5" s="147">
        <f>COUNTIF(E:E,"EX")</f>
        <v>8</v>
      </c>
      <c r="N5" s="40"/>
    </row>
    <row r="6" spans="1:14" x14ac:dyDescent="0.25">
      <c r="A6" s="87">
        <v>5</v>
      </c>
      <c r="B6" s="23" t="s">
        <v>321</v>
      </c>
      <c r="C6" s="23" t="s">
        <v>322</v>
      </c>
      <c r="D6" s="168" t="s">
        <v>323</v>
      </c>
      <c r="E6" s="21" t="s">
        <v>312</v>
      </c>
      <c r="F6" s="53" t="s">
        <v>324</v>
      </c>
      <c r="G6" s="66"/>
      <c r="H6" s="21" t="s">
        <v>308</v>
      </c>
      <c r="I6" s="147">
        <f>COUNTIF(E:E,"EX1")</f>
        <v>26</v>
      </c>
      <c r="N6" s="40"/>
    </row>
    <row r="7" spans="1:14" x14ac:dyDescent="0.25">
      <c r="A7" s="87">
        <v>6</v>
      </c>
      <c r="B7" s="23" t="s">
        <v>325</v>
      </c>
      <c r="C7" s="23" t="s">
        <v>8</v>
      </c>
      <c r="D7" s="49" t="s">
        <v>326</v>
      </c>
      <c r="E7" s="21" t="s">
        <v>312</v>
      </c>
      <c r="F7" s="173" t="s">
        <v>83</v>
      </c>
      <c r="G7" s="67"/>
      <c r="H7" s="21" t="s">
        <v>312</v>
      </c>
      <c r="I7" s="147">
        <f>COUNTIF(E:E,"EX2")</f>
        <v>14</v>
      </c>
      <c r="K7" s="152" t="s">
        <v>327</v>
      </c>
      <c r="L7" s="41" t="s">
        <v>328</v>
      </c>
      <c r="N7" s="40"/>
    </row>
    <row r="8" spans="1:14" ht="18.75" x14ac:dyDescent="0.3">
      <c r="A8" s="87">
        <v>7</v>
      </c>
      <c r="B8" s="23" t="s">
        <v>329</v>
      </c>
      <c r="C8" s="23" t="s">
        <v>330</v>
      </c>
      <c r="D8" s="35" t="s">
        <v>26</v>
      </c>
      <c r="E8" s="21" t="s">
        <v>312</v>
      </c>
      <c r="F8" s="75" t="s">
        <v>331</v>
      </c>
      <c r="G8" s="67"/>
      <c r="H8" s="21" t="s">
        <v>332</v>
      </c>
      <c r="I8" s="147">
        <f>COUNTIF(E:E,"PLT")</f>
        <v>10</v>
      </c>
      <c r="J8" s="60"/>
      <c r="K8" s="151" t="s">
        <v>333</v>
      </c>
      <c r="L8" s="35" t="s">
        <v>334</v>
      </c>
      <c r="N8" s="40"/>
    </row>
    <row r="9" spans="1:14" x14ac:dyDescent="0.25">
      <c r="A9" s="87">
        <v>8</v>
      </c>
      <c r="B9" s="23" t="s">
        <v>335</v>
      </c>
      <c r="C9" s="23" t="s">
        <v>28</v>
      </c>
      <c r="D9" s="168" t="s">
        <v>336</v>
      </c>
      <c r="E9" s="21" t="s">
        <v>312</v>
      </c>
      <c r="F9" s="173" t="s">
        <v>337</v>
      </c>
      <c r="G9" s="68"/>
      <c r="H9" s="21" t="s">
        <v>338</v>
      </c>
      <c r="I9" s="147">
        <f>COUNTIF(E:E,"PLT O.B.")</f>
        <v>3</v>
      </c>
      <c r="J9" s="61"/>
      <c r="K9" s="49" t="s">
        <v>339</v>
      </c>
      <c r="L9" s="35" t="s">
        <v>334</v>
      </c>
      <c r="N9" s="40"/>
    </row>
    <row r="10" spans="1:14" ht="18.75" x14ac:dyDescent="0.3">
      <c r="A10" s="87">
        <v>9</v>
      </c>
      <c r="B10" s="23" t="s">
        <v>340</v>
      </c>
      <c r="C10" s="23" t="s">
        <v>341</v>
      </c>
      <c r="D10" s="35" t="s">
        <v>342</v>
      </c>
      <c r="E10" s="21" t="s">
        <v>312</v>
      </c>
      <c r="F10" s="171" t="s">
        <v>333</v>
      </c>
      <c r="G10" s="32"/>
      <c r="H10" s="21" t="s">
        <v>343</v>
      </c>
      <c r="I10" s="147">
        <f>COUNTIF(E:E,"TLT")</f>
        <v>8</v>
      </c>
      <c r="J10" s="60"/>
      <c r="K10" s="35" t="s">
        <v>344</v>
      </c>
      <c r="L10" s="35" t="s">
        <v>345</v>
      </c>
      <c r="N10" s="40"/>
    </row>
    <row r="11" spans="1:14" ht="18.75" x14ac:dyDescent="0.3">
      <c r="A11" s="87">
        <v>10</v>
      </c>
      <c r="B11" s="23" t="s">
        <v>346</v>
      </c>
      <c r="C11" s="23" t="s">
        <v>347</v>
      </c>
      <c r="D11" s="170" t="s">
        <v>348</v>
      </c>
      <c r="E11" s="21" t="s">
        <v>312</v>
      </c>
      <c r="F11" s="35"/>
      <c r="G11" s="33"/>
      <c r="H11" s="21" t="s">
        <v>349</v>
      </c>
      <c r="I11" s="147">
        <f>COUNTIF(E:E,"CM")</f>
        <v>2</v>
      </c>
      <c r="J11" s="60"/>
      <c r="K11" s="35" t="s">
        <v>350</v>
      </c>
      <c r="L11" s="35" t="s">
        <v>345</v>
      </c>
      <c r="N11" s="40"/>
    </row>
    <row r="12" spans="1:14" x14ac:dyDescent="0.25">
      <c r="A12" s="87">
        <v>11</v>
      </c>
      <c r="B12" s="74" t="s">
        <v>351</v>
      </c>
      <c r="C12" s="74" t="s">
        <v>38</v>
      </c>
      <c r="D12" s="169" t="s">
        <v>352</v>
      </c>
      <c r="E12" s="21" t="s">
        <v>312</v>
      </c>
      <c r="F12" s="47"/>
      <c r="G12" s="33"/>
      <c r="H12" s="21" t="s">
        <v>353</v>
      </c>
      <c r="I12" s="147">
        <f>COUNTIF(E:E,"SST Fix")</f>
        <v>2</v>
      </c>
      <c r="J12" s="61"/>
      <c r="K12" s="35" t="s">
        <v>354</v>
      </c>
      <c r="L12" s="62"/>
      <c r="N12" s="40"/>
    </row>
    <row r="13" spans="1:14" ht="18.75" x14ac:dyDescent="0.3">
      <c r="A13" s="88">
        <v>12</v>
      </c>
      <c r="B13" s="23" t="s">
        <v>355</v>
      </c>
      <c r="C13" s="23" t="s">
        <v>356</v>
      </c>
      <c r="D13" s="35" t="s">
        <v>12</v>
      </c>
      <c r="E13" s="21" t="s">
        <v>312</v>
      </c>
      <c r="F13" s="47"/>
      <c r="G13" s="32"/>
      <c r="I13">
        <f>SUM(I5:I12)</f>
        <v>73</v>
      </c>
      <c r="J13" s="60"/>
      <c r="N13" s="40"/>
    </row>
    <row r="14" spans="1:14" x14ac:dyDescent="0.25">
      <c r="A14" s="88">
        <v>13</v>
      </c>
      <c r="B14" s="159" t="s">
        <v>357</v>
      </c>
      <c r="C14" s="159" t="s">
        <v>358</v>
      </c>
      <c r="D14" s="35" t="s">
        <v>359</v>
      </c>
      <c r="E14" s="21" t="s">
        <v>312</v>
      </c>
      <c r="F14" s="47"/>
      <c r="G14" s="32"/>
      <c r="N14" s="40"/>
    </row>
    <row r="15" spans="1:14" x14ac:dyDescent="0.25">
      <c r="A15" s="88">
        <v>14</v>
      </c>
      <c r="B15" s="159" t="s">
        <v>360</v>
      </c>
      <c r="C15" s="159" t="s">
        <v>361</v>
      </c>
      <c r="D15" s="168" t="s">
        <v>362</v>
      </c>
      <c r="E15" s="21" t="s">
        <v>312</v>
      </c>
      <c r="F15" s="47"/>
      <c r="G15" s="33"/>
      <c r="J15" s="61"/>
      <c r="N15" s="40"/>
    </row>
    <row r="16" spans="1:14" ht="18.75" x14ac:dyDescent="0.3">
      <c r="A16" s="88">
        <v>15</v>
      </c>
      <c r="B16" s="23" t="s">
        <v>48</v>
      </c>
      <c r="C16" s="23" t="s">
        <v>49</v>
      </c>
      <c r="D16" s="24" t="s">
        <v>363</v>
      </c>
      <c r="E16" s="21" t="s">
        <v>320</v>
      </c>
      <c r="F16" s="47"/>
      <c r="G16" s="33"/>
      <c r="J16" s="60"/>
      <c r="N16" s="40"/>
    </row>
    <row r="17" spans="1:14" ht="18.75" x14ac:dyDescent="0.3">
      <c r="A17" s="88">
        <v>16</v>
      </c>
      <c r="B17" s="23" t="s">
        <v>364</v>
      </c>
      <c r="C17" s="23" t="s">
        <v>41</v>
      </c>
      <c r="D17" s="168" t="s">
        <v>365</v>
      </c>
      <c r="E17" s="21" t="s">
        <v>320</v>
      </c>
      <c r="F17" s="23"/>
      <c r="G17" s="33"/>
      <c r="J17" s="60"/>
      <c r="N17" s="40"/>
    </row>
    <row r="18" spans="1:14" ht="18" customHeight="1" x14ac:dyDescent="0.25">
      <c r="A18" s="87">
        <v>17</v>
      </c>
      <c r="B18" s="160" t="s">
        <v>366</v>
      </c>
      <c r="C18" s="160" t="s">
        <v>46</v>
      </c>
      <c r="D18" s="149" t="s">
        <v>47</v>
      </c>
      <c r="E18" s="21" t="s">
        <v>320</v>
      </c>
      <c r="F18" s="47" t="s">
        <v>367</v>
      </c>
      <c r="G18" s="33"/>
      <c r="J18" s="61"/>
      <c r="N18" s="40"/>
    </row>
    <row r="19" spans="1:14" ht="18.75" x14ac:dyDescent="0.3">
      <c r="A19" s="89">
        <v>18</v>
      </c>
      <c r="B19" s="23" t="s">
        <v>99</v>
      </c>
      <c r="C19" s="160" t="s">
        <v>368</v>
      </c>
      <c r="D19" s="35" t="s">
        <v>101</v>
      </c>
      <c r="E19" s="21" t="s">
        <v>308</v>
      </c>
      <c r="F19" s="175" t="s">
        <v>369</v>
      </c>
      <c r="G19" s="33"/>
      <c r="J19" s="60"/>
      <c r="N19" s="40"/>
    </row>
    <row r="20" spans="1:14" ht="18.75" x14ac:dyDescent="0.3">
      <c r="A20" s="89">
        <v>19</v>
      </c>
      <c r="B20" s="23" t="s">
        <v>370</v>
      </c>
      <c r="C20" s="23" t="s">
        <v>88</v>
      </c>
      <c r="D20" s="35" t="s">
        <v>371</v>
      </c>
      <c r="E20" s="21" t="s">
        <v>308</v>
      </c>
      <c r="F20" s="170" t="s">
        <v>372</v>
      </c>
      <c r="G20" s="33"/>
      <c r="J20" s="60"/>
      <c r="N20" s="40"/>
    </row>
    <row r="21" spans="1:14" x14ac:dyDescent="0.25">
      <c r="A21" s="90">
        <v>20</v>
      </c>
      <c r="B21" s="23" t="s">
        <v>373</v>
      </c>
      <c r="C21" s="23" t="s">
        <v>199</v>
      </c>
      <c r="D21" s="35" t="s">
        <v>374</v>
      </c>
      <c r="E21" s="21" t="s">
        <v>332</v>
      </c>
      <c r="F21" s="168" t="s">
        <v>375</v>
      </c>
      <c r="G21" s="33"/>
      <c r="J21" s="63"/>
      <c r="N21" s="40"/>
    </row>
    <row r="22" spans="1:14" ht="18.75" x14ac:dyDescent="0.3">
      <c r="A22" s="89">
        <v>21</v>
      </c>
      <c r="B22" s="23" t="s">
        <v>376</v>
      </c>
      <c r="C22" s="23" t="s">
        <v>377</v>
      </c>
      <c r="D22" s="168" t="s">
        <v>378</v>
      </c>
      <c r="E22" s="21" t="s">
        <v>308</v>
      </c>
      <c r="F22" s="168" t="s">
        <v>379</v>
      </c>
      <c r="G22" s="33"/>
      <c r="J22" s="60"/>
      <c r="N22" s="40"/>
    </row>
    <row r="23" spans="1:14" ht="18.75" x14ac:dyDescent="0.3">
      <c r="A23" s="89">
        <v>22</v>
      </c>
      <c r="B23" s="23" t="s">
        <v>380</v>
      </c>
      <c r="C23" s="23" t="s">
        <v>127</v>
      </c>
      <c r="D23" s="35" t="s">
        <v>56</v>
      </c>
      <c r="E23" s="21" t="s">
        <v>320</v>
      </c>
      <c r="F23" s="71"/>
      <c r="G23" s="33"/>
      <c r="J23" s="60"/>
      <c r="N23" s="40"/>
    </row>
    <row r="24" spans="1:14" x14ac:dyDescent="0.25">
      <c r="A24" s="90">
        <v>23</v>
      </c>
      <c r="B24" s="23" t="s">
        <v>381</v>
      </c>
      <c r="C24" s="23" t="s">
        <v>153</v>
      </c>
      <c r="D24" s="49" t="s">
        <v>382</v>
      </c>
      <c r="E24" s="21" t="s">
        <v>332</v>
      </c>
      <c r="F24" s="71"/>
      <c r="G24" s="33"/>
      <c r="J24" s="61"/>
      <c r="N24" s="40"/>
    </row>
    <row r="25" spans="1:14" ht="18.75" x14ac:dyDescent="0.3">
      <c r="A25" s="90">
        <v>24</v>
      </c>
      <c r="B25" s="23" t="s">
        <v>383</v>
      </c>
      <c r="C25" s="23" t="s">
        <v>384</v>
      </c>
      <c r="D25" s="168" t="s">
        <v>385</v>
      </c>
      <c r="E25" s="21" t="s">
        <v>343</v>
      </c>
      <c r="F25" s="71"/>
      <c r="G25" s="33"/>
      <c r="J25" s="60"/>
      <c r="N25" s="40"/>
    </row>
    <row r="26" spans="1:14" x14ac:dyDescent="0.25">
      <c r="A26" s="90">
        <v>25</v>
      </c>
      <c r="B26" s="23" t="s">
        <v>386</v>
      </c>
      <c r="C26" s="161" t="s">
        <v>235</v>
      </c>
      <c r="D26" s="49" t="s">
        <v>387</v>
      </c>
      <c r="E26" s="21" t="s">
        <v>332</v>
      </c>
      <c r="F26" s="71"/>
      <c r="G26" s="33"/>
      <c r="J26" s="40"/>
      <c r="N26" s="40"/>
    </row>
    <row r="27" spans="1:14" x14ac:dyDescent="0.25">
      <c r="A27" s="90">
        <v>26</v>
      </c>
      <c r="B27" s="23" t="s">
        <v>388</v>
      </c>
      <c r="C27" s="23" t="s">
        <v>52</v>
      </c>
      <c r="D27" s="174" t="s">
        <v>389</v>
      </c>
      <c r="E27" s="21" t="s">
        <v>332</v>
      </c>
      <c r="F27" s="71"/>
      <c r="G27" s="33"/>
      <c r="J27" s="40"/>
      <c r="N27" s="40"/>
    </row>
    <row r="28" spans="1:14" x14ac:dyDescent="0.25">
      <c r="A28" s="89">
        <v>27</v>
      </c>
      <c r="B28" s="23" t="s">
        <v>390</v>
      </c>
      <c r="C28" s="23" t="s">
        <v>82</v>
      </c>
      <c r="D28" t="s">
        <v>391</v>
      </c>
      <c r="E28" s="21" t="s">
        <v>308</v>
      </c>
      <c r="F28" s="71"/>
      <c r="G28" s="33"/>
      <c r="J28" s="40"/>
      <c r="N28" s="40"/>
    </row>
    <row r="29" spans="1:14" x14ac:dyDescent="0.25">
      <c r="A29" s="90">
        <v>28</v>
      </c>
      <c r="B29" s="23" t="s">
        <v>392</v>
      </c>
      <c r="C29" s="23" t="s">
        <v>244</v>
      </c>
      <c r="D29" s="85" t="s">
        <v>250</v>
      </c>
      <c r="E29" s="21" t="s">
        <v>332</v>
      </c>
      <c r="F29" s="71"/>
      <c r="G29" s="33"/>
      <c r="N29" s="40"/>
    </row>
    <row r="30" spans="1:14" x14ac:dyDescent="0.25">
      <c r="A30" s="90">
        <v>29</v>
      </c>
      <c r="B30" s="23" t="s">
        <v>393</v>
      </c>
      <c r="C30" s="23" t="s">
        <v>394</v>
      </c>
      <c r="D30" s="35" t="s">
        <v>395</v>
      </c>
      <c r="E30" s="21" t="s">
        <v>338</v>
      </c>
      <c r="F30" s="71"/>
      <c r="G30" s="33"/>
      <c r="N30" s="40"/>
    </row>
    <row r="31" spans="1:14" x14ac:dyDescent="0.25">
      <c r="A31" s="89">
        <v>30</v>
      </c>
      <c r="B31" s="23" t="s">
        <v>396</v>
      </c>
      <c r="C31" s="23" t="s">
        <v>397</v>
      </c>
      <c r="D31" s="35" t="s">
        <v>178</v>
      </c>
      <c r="E31" s="21" t="s">
        <v>308</v>
      </c>
      <c r="F31" s="71"/>
      <c r="G31" s="33"/>
      <c r="N31" s="40"/>
    </row>
    <row r="32" spans="1:14" x14ac:dyDescent="0.25">
      <c r="A32" s="89">
        <v>31</v>
      </c>
      <c r="B32" s="23" t="s">
        <v>398</v>
      </c>
      <c r="C32" s="23" t="s">
        <v>112</v>
      </c>
      <c r="D32" s="35" t="s">
        <v>399</v>
      </c>
      <c r="E32" s="21" t="s">
        <v>308</v>
      </c>
      <c r="F32" s="71"/>
      <c r="G32" s="33"/>
      <c r="J32" s="40"/>
      <c r="N32" s="40"/>
    </row>
    <row r="33" spans="1:14" x14ac:dyDescent="0.25">
      <c r="A33" s="89">
        <v>32</v>
      </c>
      <c r="B33" s="23" t="s">
        <v>400</v>
      </c>
      <c r="C33" s="23" t="s">
        <v>401</v>
      </c>
      <c r="D33" s="35" t="s">
        <v>402</v>
      </c>
      <c r="E33" s="21" t="s">
        <v>308</v>
      </c>
      <c r="F33" s="71"/>
      <c r="G33" s="33"/>
      <c r="J33" s="50"/>
      <c r="N33" s="40"/>
    </row>
    <row r="34" spans="1:14" x14ac:dyDescent="0.25">
      <c r="A34" s="89">
        <v>33</v>
      </c>
      <c r="B34" s="23" t="s">
        <v>403</v>
      </c>
      <c r="C34" s="23" t="s">
        <v>404</v>
      </c>
      <c r="D34" s="35" t="s">
        <v>405</v>
      </c>
      <c r="E34" s="21" t="s">
        <v>320</v>
      </c>
      <c r="F34" s="71"/>
      <c r="G34" s="33"/>
      <c r="J34" s="50"/>
      <c r="N34" s="40"/>
    </row>
    <row r="35" spans="1:14" x14ac:dyDescent="0.25">
      <c r="A35" s="89">
        <v>34</v>
      </c>
      <c r="B35" s="23" t="s">
        <v>406</v>
      </c>
      <c r="C35" s="23" t="s">
        <v>216</v>
      </c>
      <c r="D35" s="158" t="s">
        <v>407</v>
      </c>
      <c r="E35" s="21" t="s">
        <v>308</v>
      </c>
      <c r="F35" s="71"/>
      <c r="G35" s="33"/>
      <c r="J35" s="50"/>
      <c r="N35" s="40"/>
    </row>
    <row r="36" spans="1:14" x14ac:dyDescent="0.25">
      <c r="A36" s="90">
        <v>35</v>
      </c>
      <c r="B36" s="23" t="s">
        <v>408</v>
      </c>
      <c r="C36" s="162" t="s">
        <v>409</v>
      </c>
      <c r="D36" s="35" t="s">
        <v>169</v>
      </c>
      <c r="E36" s="21" t="s">
        <v>349</v>
      </c>
      <c r="F36" s="81"/>
      <c r="G36" s="33"/>
      <c r="J36" s="50"/>
      <c r="N36" s="40"/>
    </row>
    <row r="37" spans="1:14" x14ac:dyDescent="0.25">
      <c r="A37" s="89">
        <v>36</v>
      </c>
      <c r="B37" s="23" t="s">
        <v>410</v>
      </c>
      <c r="C37" s="161" t="s">
        <v>411</v>
      </c>
      <c r="D37" s="35" t="s">
        <v>412</v>
      </c>
      <c r="E37" s="21" t="s">
        <v>308</v>
      </c>
      <c r="F37" s="81"/>
      <c r="G37" s="33"/>
      <c r="J37" s="50"/>
      <c r="N37" s="40"/>
    </row>
    <row r="38" spans="1:14" x14ac:dyDescent="0.25">
      <c r="A38" s="89">
        <v>37</v>
      </c>
      <c r="B38" s="23" t="s">
        <v>413</v>
      </c>
      <c r="C38" s="162" t="s">
        <v>414</v>
      </c>
      <c r="D38" s="48" t="s">
        <v>415</v>
      </c>
      <c r="E38" s="21" t="s">
        <v>343</v>
      </c>
      <c r="F38" s="81"/>
      <c r="G38" s="33"/>
      <c r="J38" s="50"/>
      <c r="N38" s="40"/>
    </row>
    <row r="39" spans="1:14" x14ac:dyDescent="0.25">
      <c r="A39" s="90">
        <v>38</v>
      </c>
      <c r="B39" s="23" t="s">
        <v>416</v>
      </c>
      <c r="C39" s="23" t="s">
        <v>207</v>
      </c>
      <c r="D39" s="46" t="s">
        <v>417</v>
      </c>
      <c r="E39" s="21" t="s">
        <v>338</v>
      </c>
      <c r="F39" s="47"/>
      <c r="G39" s="22"/>
      <c r="J39" s="50"/>
      <c r="N39" s="40"/>
    </row>
    <row r="40" spans="1:14" x14ac:dyDescent="0.25">
      <c r="A40" s="89">
        <v>39</v>
      </c>
      <c r="B40" s="74" t="s">
        <v>418</v>
      </c>
      <c r="C40" s="163" t="s">
        <v>419</v>
      </c>
      <c r="D40" s="85" t="s">
        <v>145</v>
      </c>
      <c r="E40" s="21" t="s">
        <v>320</v>
      </c>
      <c r="F40" s="47"/>
      <c r="G40" s="33"/>
      <c r="J40" s="50"/>
      <c r="N40" s="40"/>
    </row>
    <row r="41" spans="1:14" x14ac:dyDescent="0.25">
      <c r="A41" s="92">
        <v>40</v>
      </c>
      <c r="B41" s="23" t="s">
        <v>420</v>
      </c>
      <c r="C41" s="164" t="s">
        <v>118</v>
      </c>
      <c r="D41" s="170" t="s">
        <v>421</v>
      </c>
      <c r="E41" s="21" t="s">
        <v>320</v>
      </c>
      <c r="F41" s="23"/>
      <c r="G41" s="33"/>
      <c r="J41" s="50"/>
      <c r="N41" s="40"/>
    </row>
    <row r="42" spans="1:14" x14ac:dyDescent="0.25">
      <c r="A42" s="91">
        <v>41</v>
      </c>
      <c r="B42" s="23" t="s">
        <v>422</v>
      </c>
      <c r="C42" s="23" t="s">
        <v>260</v>
      </c>
      <c r="D42" s="35" t="s">
        <v>423</v>
      </c>
      <c r="E42" s="21" t="s">
        <v>332</v>
      </c>
      <c r="F42" s="23"/>
      <c r="G42" s="33"/>
      <c r="J42" s="50"/>
      <c r="N42" s="40"/>
    </row>
    <row r="43" spans="1:14" x14ac:dyDescent="0.25">
      <c r="A43" s="91">
        <v>42</v>
      </c>
      <c r="B43" s="23" t="s">
        <v>424</v>
      </c>
      <c r="C43" s="23" t="s">
        <v>425</v>
      </c>
      <c r="D43" s="170" t="s">
        <v>426</v>
      </c>
      <c r="E43" s="21" t="s">
        <v>338</v>
      </c>
      <c r="F43" s="81"/>
      <c r="G43" s="33"/>
      <c r="J43" s="50"/>
      <c r="N43" s="40"/>
    </row>
    <row r="44" spans="1:14" x14ac:dyDescent="0.25">
      <c r="A44" s="88">
        <v>43</v>
      </c>
      <c r="B44" s="23" t="s">
        <v>212</v>
      </c>
      <c r="C44" s="23" t="s">
        <v>213</v>
      </c>
      <c r="D44" s="49" t="s">
        <v>427</v>
      </c>
      <c r="E44" s="83" t="s">
        <v>312</v>
      </c>
      <c r="F44" s="23"/>
      <c r="G44" s="33"/>
      <c r="J44" s="50"/>
      <c r="N44" s="40"/>
    </row>
    <row r="45" spans="1:14" x14ac:dyDescent="0.25">
      <c r="A45" s="92">
        <v>44</v>
      </c>
      <c r="B45" s="23" t="s">
        <v>215</v>
      </c>
      <c r="C45" s="23" t="s">
        <v>190</v>
      </c>
      <c r="D45" s="150" t="s">
        <v>428</v>
      </c>
      <c r="E45" s="21" t="s">
        <v>308</v>
      </c>
      <c r="F45" s="23"/>
      <c r="G45" s="33"/>
      <c r="J45" s="50"/>
      <c r="N45" s="40"/>
    </row>
    <row r="46" spans="1:14" x14ac:dyDescent="0.25">
      <c r="A46" s="92">
        <v>45</v>
      </c>
      <c r="B46" s="23" t="s">
        <v>218</v>
      </c>
      <c r="C46" s="23" t="s">
        <v>115</v>
      </c>
      <c r="D46" s="49" t="s">
        <v>429</v>
      </c>
      <c r="E46" s="83" t="s">
        <v>308</v>
      </c>
      <c r="F46" s="31"/>
      <c r="G46" s="33"/>
      <c r="J46" s="50"/>
      <c r="N46" s="40"/>
    </row>
    <row r="47" spans="1:14" x14ac:dyDescent="0.25">
      <c r="A47" s="89">
        <v>46</v>
      </c>
      <c r="B47" s="160" t="s">
        <v>221</v>
      </c>
      <c r="C47" s="160" t="s">
        <v>222</v>
      </c>
      <c r="D47" s="35" t="s">
        <v>430</v>
      </c>
      <c r="E47" s="21" t="s">
        <v>308</v>
      </c>
      <c r="F47" s="47"/>
      <c r="G47" s="33"/>
      <c r="J47" s="50"/>
      <c r="N47" s="40"/>
    </row>
    <row r="48" spans="1:14" x14ac:dyDescent="0.25">
      <c r="A48" s="89">
        <v>47</v>
      </c>
      <c r="B48" s="23" t="s">
        <v>224</v>
      </c>
      <c r="C48" s="23" t="s">
        <v>225</v>
      </c>
      <c r="D48" s="35" t="s">
        <v>431</v>
      </c>
      <c r="E48" s="21" t="s">
        <v>308</v>
      </c>
      <c r="F48" s="23"/>
      <c r="G48" s="33"/>
      <c r="J48" s="50"/>
      <c r="N48" s="40"/>
    </row>
    <row r="49" spans="1:14" x14ac:dyDescent="0.25">
      <c r="A49" s="89">
        <v>48</v>
      </c>
      <c r="B49" s="23" t="s">
        <v>432</v>
      </c>
      <c r="C49" s="23" t="s">
        <v>124</v>
      </c>
      <c r="D49" s="49" t="s">
        <v>433</v>
      </c>
      <c r="E49" s="21" t="s">
        <v>308</v>
      </c>
      <c r="F49" s="23" t="s">
        <v>434</v>
      </c>
      <c r="G49" s="33"/>
      <c r="J49" s="50"/>
      <c r="N49" s="40"/>
    </row>
    <row r="50" spans="1:14" x14ac:dyDescent="0.25">
      <c r="A50" s="89">
        <v>49</v>
      </c>
      <c r="B50" s="23" t="s">
        <v>435</v>
      </c>
      <c r="C50" s="31" t="s">
        <v>72</v>
      </c>
      <c r="D50" s="149" t="s">
        <v>436</v>
      </c>
      <c r="E50" s="21" t="s">
        <v>308</v>
      </c>
      <c r="F50" s="71"/>
      <c r="G50" s="33"/>
      <c r="J50" s="50"/>
      <c r="N50" s="40"/>
    </row>
    <row r="51" spans="1:14" x14ac:dyDescent="0.25">
      <c r="A51" s="89">
        <v>50</v>
      </c>
      <c r="B51" s="23" t="s">
        <v>437</v>
      </c>
      <c r="C51" s="165" t="s">
        <v>438</v>
      </c>
      <c r="D51" s="157" t="s">
        <v>439</v>
      </c>
      <c r="E51" s="21" t="s">
        <v>308</v>
      </c>
      <c r="F51" s="71"/>
      <c r="G51" s="33"/>
      <c r="N51" s="40"/>
    </row>
    <row r="52" spans="1:14" x14ac:dyDescent="0.25">
      <c r="A52" s="89">
        <v>51</v>
      </c>
      <c r="B52" s="23" t="s">
        <v>440</v>
      </c>
      <c r="C52" s="165" t="s">
        <v>441</v>
      </c>
      <c r="D52" s="49" t="s">
        <v>442</v>
      </c>
      <c r="E52" s="21" t="s">
        <v>332</v>
      </c>
      <c r="F52" s="31"/>
      <c r="G52" s="33"/>
      <c r="N52" s="40"/>
    </row>
    <row r="53" spans="1:14" x14ac:dyDescent="0.25">
      <c r="A53" s="89">
        <v>52</v>
      </c>
      <c r="B53" s="23" t="s">
        <v>443</v>
      </c>
      <c r="C53" s="166" t="s">
        <v>187</v>
      </c>
      <c r="D53" s="49" t="s">
        <v>444</v>
      </c>
      <c r="E53" s="21" t="s">
        <v>308</v>
      </c>
      <c r="F53" s="71"/>
      <c r="G53" s="33"/>
      <c r="N53" s="40"/>
    </row>
    <row r="54" spans="1:14" x14ac:dyDescent="0.25">
      <c r="A54" s="89">
        <v>53</v>
      </c>
      <c r="B54" s="23" t="s">
        <v>445</v>
      </c>
      <c r="C54" s="11" t="s">
        <v>219</v>
      </c>
      <c r="D54" s="170" t="s">
        <v>446</v>
      </c>
      <c r="E54" s="21" t="s">
        <v>308</v>
      </c>
      <c r="F54" s="71"/>
      <c r="G54" s="33"/>
      <c r="N54" s="40"/>
    </row>
    <row r="55" spans="1:14" x14ac:dyDescent="0.25">
      <c r="A55" s="89">
        <v>54</v>
      </c>
      <c r="B55" s="23" t="s">
        <v>447</v>
      </c>
      <c r="C55" s="165" t="s">
        <v>448</v>
      </c>
      <c r="D55" s="170" t="s">
        <v>449</v>
      </c>
      <c r="E55" s="21" t="s">
        <v>308</v>
      </c>
      <c r="F55" s="31"/>
      <c r="G55" s="32"/>
      <c r="J55" s="72"/>
      <c r="N55" s="40"/>
    </row>
    <row r="56" spans="1:14" x14ac:dyDescent="0.25">
      <c r="A56" s="89">
        <v>55</v>
      </c>
      <c r="B56" s="23" t="s">
        <v>450</v>
      </c>
      <c r="C56" s="11" t="s">
        <v>451</v>
      </c>
      <c r="D56" s="64" t="s">
        <v>452</v>
      </c>
      <c r="E56" s="21" t="s">
        <v>308</v>
      </c>
      <c r="F56" s="31"/>
      <c r="G56" s="32"/>
      <c r="N56" s="40"/>
    </row>
    <row r="57" spans="1:14" x14ac:dyDescent="0.25">
      <c r="A57" s="90">
        <v>56</v>
      </c>
      <c r="B57" s="23" t="s">
        <v>453</v>
      </c>
      <c r="C57" s="23" t="s">
        <v>137</v>
      </c>
      <c r="D57" s="168" t="s">
        <v>454</v>
      </c>
      <c r="E57" s="21" t="s">
        <v>332</v>
      </c>
      <c r="F57" s="31"/>
      <c r="G57" s="32"/>
      <c r="N57" s="40"/>
    </row>
    <row r="58" spans="1:14" x14ac:dyDescent="0.25">
      <c r="A58" s="89">
        <v>57</v>
      </c>
      <c r="B58" s="23" t="s">
        <v>455</v>
      </c>
      <c r="C58" s="81" t="s">
        <v>456</v>
      </c>
      <c r="D58" s="35" t="s">
        <v>457</v>
      </c>
      <c r="E58" s="21" t="s">
        <v>308</v>
      </c>
      <c r="F58" s="31" t="s">
        <v>458</v>
      </c>
      <c r="G58" s="32"/>
      <c r="L58" s="148"/>
      <c r="N58" s="40"/>
    </row>
    <row r="59" spans="1:14" x14ac:dyDescent="0.25">
      <c r="A59" s="89">
        <v>58</v>
      </c>
      <c r="B59" s="23" t="s">
        <v>459</v>
      </c>
      <c r="C59" s="23" t="s">
        <v>460</v>
      </c>
      <c r="D59" s="35" t="s">
        <v>461</v>
      </c>
      <c r="E59" s="21" t="s">
        <v>308</v>
      </c>
      <c r="F59" s="156" t="s">
        <v>462</v>
      </c>
      <c r="G59" s="32"/>
      <c r="K59" s="44"/>
      <c r="L59" s="42"/>
      <c r="N59" s="40"/>
    </row>
    <row r="60" spans="1:14" x14ac:dyDescent="0.25">
      <c r="A60" s="89">
        <v>59</v>
      </c>
      <c r="B60" s="23" t="s">
        <v>463</v>
      </c>
      <c r="C60" s="23" t="s">
        <v>121</v>
      </c>
      <c r="D60" s="150" t="s">
        <v>428</v>
      </c>
      <c r="E60" s="21" t="s">
        <v>308</v>
      </c>
      <c r="F60" s="155" t="s">
        <v>464</v>
      </c>
      <c r="G60" s="32"/>
      <c r="N60" s="40"/>
    </row>
    <row r="61" spans="1:14" x14ac:dyDescent="0.25">
      <c r="A61" s="89">
        <v>60</v>
      </c>
      <c r="B61" s="23" t="s">
        <v>465</v>
      </c>
      <c r="C61" s="23" t="s">
        <v>64</v>
      </c>
      <c r="D61" s="35" t="s">
        <v>466</v>
      </c>
      <c r="E61" s="21" t="s">
        <v>320</v>
      </c>
      <c r="F61" s="154" t="s">
        <v>467</v>
      </c>
      <c r="G61" s="32"/>
      <c r="N61" s="40"/>
    </row>
    <row r="62" spans="1:14" x14ac:dyDescent="0.25">
      <c r="A62" s="89">
        <v>61</v>
      </c>
      <c r="B62" s="23" t="s">
        <v>468</v>
      </c>
      <c r="C62" s="23" t="s">
        <v>469</v>
      </c>
      <c r="D62" s="35" t="s">
        <v>470</v>
      </c>
      <c r="E62" s="21" t="s">
        <v>308</v>
      </c>
      <c r="F62" s="153" t="s">
        <v>363</v>
      </c>
      <c r="G62" s="32"/>
      <c r="N62" s="40"/>
    </row>
    <row r="63" spans="1:14" x14ac:dyDescent="0.25">
      <c r="A63" s="90">
        <v>62</v>
      </c>
      <c r="B63" s="23" t="s">
        <v>471</v>
      </c>
      <c r="C63" s="23" t="s">
        <v>69</v>
      </c>
      <c r="D63" s="20" t="s">
        <v>472</v>
      </c>
      <c r="E63" s="21" t="s">
        <v>332</v>
      </c>
      <c r="F63" s="155" t="s">
        <v>473</v>
      </c>
      <c r="G63" s="32"/>
      <c r="N63" s="40"/>
    </row>
    <row r="64" spans="1:14" x14ac:dyDescent="0.25">
      <c r="A64" s="90">
        <v>63</v>
      </c>
      <c r="B64" s="23" t="s">
        <v>474</v>
      </c>
      <c r="C64" s="161" t="s">
        <v>475</v>
      </c>
      <c r="D64" s="35" t="s">
        <v>476</v>
      </c>
      <c r="E64" s="21" t="s">
        <v>343</v>
      </c>
      <c r="F64" s="154" t="s">
        <v>477</v>
      </c>
      <c r="G64" s="32"/>
      <c r="N64" s="40"/>
    </row>
    <row r="65" spans="1:14" x14ac:dyDescent="0.25">
      <c r="A65" s="90">
        <v>64</v>
      </c>
      <c r="B65" s="23" t="s">
        <v>478</v>
      </c>
      <c r="C65" s="162" t="s">
        <v>479</v>
      </c>
      <c r="D65" s="174" t="s">
        <v>480</v>
      </c>
      <c r="E65" s="21" t="s">
        <v>343</v>
      </c>
      <c r="F65" s="23"/>
      <c r="G65" s="32"/>
      <c r="N65" s="40"/>
    </row>
    <row r="66" spans="1:14" x14ac:dyDescent="0.25">
      <c r="A66" s="90">
        <v>65</v>
      </c>
      <c r="B66" s="23" t="s">
        <v>481</v>
      </c>
      <c r="C66" s="23" t="s">
        <v>184</v>
      </c>
      <c r="D66" s="35" t="s">
        <v>482</v>
      </c>
      <c r="E66" s="21" t="s">
        <v>308</v>
      </c>
      <c r="F66" s="160"/>
      <c r="G66" s="22"/>
      <c r="N66" s="40"/>
    </row>
    <row r="67" spans="1:14" x14ac:dyDescent="0.25">
      <c r="A67" s="90">
        <v>66</v>
      </c>
      <c r="B67" s="23" t="s">
        <v>483</v>
      </c>
      <c r="C67" s="23" t="s">
        <v>484</v>
      </c>
      <c r="D67" s="49" t="s">
        <v>485</v>
      </c>
      <c r="E67" s="21" t="s">
        <v>343</v>
      </c>
      <c r="F67" s="23"/>
      <c r="G67" s="20"/>
      <c r="N67" s="40"/>
    </row>
    <row r="68" spans="1:14" x14ac:dyDescent="0.25">
      <c r="A68" s="90">
        <v>67</v>
      </c>
      <c r="B68" s="23" t="s">
        <v>486</v>
      </c>
      <c r="C68" s="23" t="s">
        <v>487</v>
      </c>
      <c r="D68" s="158" t="s">
        <v>488</v>
      </c>
      <c r="E68" s="21" t="s">
        <v>343</v>
      </c>
      <c r="F68" s="23"/>
      <c r="G68" s="32"/>
      <c r="N68" s="40"/>
    </row>
    <row r="69" spans="1:14" x14ac:dyDescent="0.25">
      <c r="A69" s="90">
        <v>68</v>
      </c>
      <c r="B69" s="23" t="s">
        <v>489</v>
      </c>
      <c r="C69" s="23" t="s">
        <v>103</v>
      </c>
      <c r="D69" s="170" t="s">
        <v>490</v>
      </c>
      <c r="E69" s="21" t="s">
        <v>332</v>
      </c>
      <c r="F69" s="166"/>
      <c r="G69" s="32"/>
      <c r="N69" s="40"/>
    </row>
    <row r="70" spans="1:14" x14ac:dyDescent="0.25">
      <c r="A70" s="90">
        <v>69</v>
      </c>
      <c r="B70" s="23" t="s">
        <v>491</v>
      </c>
      <c r="C70" s="23" t="s">
        <v>492</v>
      </c>
      <c r="D70" s="35" t="s">
        <v>493</v>
      </c>
      <c r="E70" s="21" t="s">
        <v>343</v>
      </c>
      <c r="F70" s="166"/>
      <c r="G70" s="32"/>
      <c r="N70" s="40"/>
    </row>
    <row r="71" spans="1:14" x14ac:dyDescent="0.25">
      <c r="A71" s="90">
        <v>70</v>
      </c>
      <c r="B71" s="23" t="s">
        <v>494</v>
      </c>
      <c r="C71" s="23" t="s">
        <v>495</v>
      </c>
      <c r="D71" s="176" t="s">
        <v>496</v>
      </c>
      <c r="E71" s="21" t="s">
        <v>349</v>
      </c>
      <c r="F71" s="166"/>
      <c r="G71" s="32"/>
      <c r="N71" s="40"/>
    </row>
    <row r="72" spans="1:14" x14ac:dyDescent="0.25">
      <c r="A72" s="87">
        <v>71</v>
      </c>
      <c r="B72" s="23" t="s">
        <v>227</v>
      </c>
      <c r="C72" s="23" t="s">
        <v>497</v>
      </c>
      <c r="D72" s="49" t="s">
        <v>498</v>
      </c>
      <c r="E72" s="21" t="s">
        <v>343</v>
      </c>
      <c r="F72" s="167"/>
      <c r="G72" s="32"/>
      <c r="N72" s="40"/>
    </row>
    <row r="73" spans="1:14" x14ac:dyDescent="0.25">
      <c r="A73" s="87">
        <v>72</v>
      </c>
      <c r="B73" s="23" t="s">
        <v>499</v>
      </c>
      <c r="C73" s="172" t="s">
        <v>500</v>
      </c>
      <c r="D73" s="168" t="s">
        <v>501</v>
      </c>
      <c r="E73" s="21"/>
      <c r="F73" s="167"/>
      <c r="G73" s="73"/>
      <c r="N73" s="40"/>
    </row>
    <row r="74" spans="1:14" x14ac:dyDescent="0.25">
      <c r="A74" s="87">
        <v>73</v>
      </c>
      <c r="B74" s="23" t="s">
        <v>502</v>
      </c>
      <c r="C74" s="172" t="s">
        <v>503</v>
      </c>
      <c r="D74" s="93" t="s">
        <v>477</v>
      </c>
      <c r="E74" s="21"/>
      <c r="F74" s="167"/>
      <c r="G74" s="73"/>
      <c r="N74" s="40"/>
    </row>
    <row r="75" spans="1:14" x14ac:dyDescent="0.25">
      <c r="A75" s="87">
        <v>74</v>
      </c>
      <c r="B75" s="23" t="s">
        <v>504</v>
      </c>
      <c r="C75" s="23" t="s">
        <v>505</v>
      </c>
      <c r="D75" s="81" t="s">
        <v>506</v>
      </c>
      <c r="E75" s="21" t="s">
        <v>353</v>
      </c>
      <c r="F75" s="23"/>
      <c r="G75" s="73"/>
      <c r="N75" s="40"/>
    </row>
    <row r="76" spans="1:14" x14ac:dyDescent="0.25">
      <c r="A76" s="87">
        <v>75</v>
      </c>
      <c r="B76" s="23" t="s">
        <v>507</v>
      </c>
      <c r="C76" s="23" t="s">
        <v>508</v>
      </c>
      <c r="D76" s="81" t="s">
        <v>509</v>
      </c>
      <c r="E76" s="21" t="s">
        <v>353</v>
      </c>
      <c r="F76" s="166"/>
      <c r="G76" s="20"/>
      <c r="N76" s="40"/>
    </row>
    <row r="77" spans="1:14" ht="5.25" customHeight="1" x14ac:dyDescent="0.25">
      <c r="A77" s="26"/>
      <c r="B77" s="27"/>
      <c r="C77" s="27"/>
      <c r="D77" s="27"/>
      <c r="E77" s="28" t="s">
        <v>306</v>
      </c>
      <c r="F77" s="27"/>
      <c r="G77" s="29"/>
      <c r="N77" s="40"/>
    </row>
    <row r="78" spans="1:14" x14ac:dyDescent="0.25">
      <c r="N78" s="40"/>
    </row>
    <row r="79" spans="1:14" x14ac:dyDescent="0.25">
      <c r="D79" s="59"/>
      <c r="N79" s="40"/>
    </row>
    <row r="80" spans="1:14" x14ac:dyDescent="0.25">
      <c r="D80" s="52"/>
      <c r="N80" s="40"/>
    </row>
    <row r="81" spans="4:14" x14ac:dyDescent="0.25">
      <c r="D81" s="40"/>
      <c r="N81" s="40"/>
    </row>
    <row r="82" spans="4:14" x14ac:dyDescent="0.25">
      <c r="D82" s="72"/>
      <c r="N82" s="40"/>
    </row>
    <row r="83" spans="4:14" x14ac:dyDescent="0.25">
      <c r="D83" s="72"/>
      <c r="N83" s="40"/>
    </row>
    <row r="84" spans="4:14" x14ac:dyDescent="0.25">
      <c r="D84" s="72"/>
      <c r="K84" s="52"/>
      <c r="N84" s="40"/>
    </row>
    <row r="85" spans="4:14" x14ac:dyDescent="0.25">
      <c r="D85" s="72"/>
      <c r="F85" s="11"/>
      <c r="K85" s="40"/>
      <c r="N85" s="40"/>
    </row>
    <row r="86" spans="4:14" x14ac:dyDescent="0.25">
      <c r="D86" s="72"/>
      <c r="F86" s="69"/>
      <c r="K86" s="52"/>
      <c r="N86" s="40"/>
    </row>
    <row r="87" spans="4:14" x14ac:dyDescent="0.25">
      <c r="D87" s="72"/>
      <c r="F87" s="40"/>
      <c r="K87" s="52"/>
      <c r="N87" s="40"/>
    </row>
    <row r="88" spans="4:14" x14ac:dyDescent="0.25">
      <c r="D88" s="72"/>
      <c r="F88" s="52"/>
      <c r="N88" s="40"/>
    </row>
    <row r="89" spans="4:14" x14ac:dyDescent="0.25">
      <c r="D89" s="72"/>
      <c r="N89" s="40"/>
    </row>
    <row r="90" spans="4:14" x14ac:dyDescent="0.25">
      <c r="D90" s="72"/>
      <c r="N90" s="40"/>
    </row>
    <row r="91" spans="4:14" x14ac:dyDescent="0.25">
      <c r="D91" s="72"/>
      <c r="N91" s="40"/>
    </row>
    <row r="92" spans="4:14" x14ac:dyDescent="0.25">
      <c r="D92" s="72"/>
      <c r="N92" s="40"/>
    </row>
    <row r="93" spans="4:14" x14ac:dyDescent="0.25">
      <c r="D93" s="72"/>
      <c r="N93" s="40"/>
    </row>
    <row r="94" spans="4:14" x14ac:dyDescent="0.25">
      <c r="D94" s="72"/>
      <c r="N94" s="40"/>
    </row>
  </sheetData>
  <conditionalFormatting sqref="B1">
    <cfRule type="duplicateValues" dxfId="5118" priority="16287"/>
  </conditionalFormatting>
  <conditionalFormatting sqref="B2:B37 B39:B76">
    <cfRule type="duplicateValues" dxfId="5117" priority="16689"/>
  </conditionalFormatting>
  <conditionalFormatting sqref="B38">
    <cfRule type="duplicateValues" dxfId="5116" priority="2110"/>
  </conditionalFormatting>
  <conditionalFormatting sqref="B38:D38">
    <cfRule type="duplicateValues" dxfId="5115" priority="2108"/>
  </conditionalFormatting>
  <conditionalFormatting sqref="C2:C28 C48:C49 C42 C30:C37 C44:C46 C39:C40 C51:C57 C59:C76">
    <cfRule type="duplicateValues" dxfId="5114" priority="16691"/>
  </conditionalFormatting>
  <conditionalFormatting sqref="C26">
    <cfRule type="duplicateValues" dxfId="5113" priority="5410"/>
    <cfRule type="duplicateValues" dxfId="5112" priority="5411"/>
    <cfRule type="duplicateValues" dxfId="5111" priority="5434"/>
    <cfRule type="duplicateValues" dxfId="5110" priority="5435"/>
  </conditionalFormatting>
  <conditionalFormatting sqref="C29">
    <cfRule type="duplicateValues" dxfId="5109" priority="5028"/>
    <cfRule type="duplicateValues" dxfId="5108" priority="5029"/>
  </conditionalFormatting>
  <conditionalFormatting sqref="C37">
    <cfRule type="duplicateValues" dxfId="5107" priority="5521"/>
    <cfRule type="duplicateValues" dxfId="5106" priority="5522"/>
  </conditionalFormatting>
  <conditionalFormatting sqref="C38">
    <cfRule type="duplicateValues" dxfId="5105" priority="2109"/>
  </conditionalFormatting>
  <conditionalFormatting sqref="C41">
    <cfRule type="duplicateValues" dxfId="5104" priority="5030"/>
    <cfRule type="duplicateValues" dxfId="5103" priority="5031"/>
  </conditionalFormatting>
  <conditionalFormatting sqref="C43">
    <cfRule type="duplicateValues" dxfId="5102" priority="5013"/>
    <cfRule type="duplicateValues" dxfId="5101" priority="5014"/>
  </conditionalFormatting>
  <conditionalFormatting sqref="C47">
    <cfRule type="duplicateValues" dxfId="5100" priority="5154"/>
    <cfRule type="duplicateValues" dxfId="5099" priority="5155"/>
  </conditionalFormatting>
  <conditionalFormatting sqref="C58">
    <cfRule type="duplicateValues" dxfId="5098" priority="5202"/>
    <cfRule type="duplicateValues" dxfId="5097" priority="5203"/>
  </conditionalFormatting>
  <conditionalFormatting sqref="C64">
    <cfRule type="duplicateValues" dxfId="5096" priority="5408"/>
    <cfRule type="duplicateValues" dxfId="5095" priority="5409"/>
  </conditionalFormatting>
  <conditionalFormatting sqref="C77:C1048576 C1">
    <cfRule type="duplicateValues" dxfId="5094" priority="13427"/>
  </conditionalFormatting>
  <conditionalFormatting sqref="D2">
    <cfRule type="duplicateValues" dxfId="5093" priority="329"/>
    <cfRule type="duplicateValues" dxfId="5092" priority="330"/>
    <cfRule type="duplicateValues" dxfId="5091" priority="331"/>
    <cfRule type="duplicateValues" dxfId="5090" priority="332"/>
    <cfRule type="duplicateValues" dxfId="5089" priority="333"/>
    <cfRule type="duplicateValues" dxfId="5088" priority="334"/>
    <cfRule type="duplicateValues" dxfId="5087" priority="335"/>
  </conditionalFormatting>
  <conditionalFormatting sqref="D3">
    <cfRule type="duplicateValues" dxfId="5086" priority="2250"/>
    <cfRule type="duplicateValues" dxfId="5085" priority="2251"/>
    <cfRule type="duplicateValues" dxfId="5084" priority="2252"/>
    <cfRule type="duplicateValues" dxfId="5083" priority="2253"/>
    <cfRule type="duplicateValues" dxfId="5082" priority="2254"/>
    <cfRule type="duplicateValues" dxfId="5081" priority="2255"/>
    <cfRule type="duplicateValues" dxfId="5080" priority="2256"/>
    <cfRule type="duplicateValues" dxfId="5079" priority="2257"/>
    <cfRule type="duplicateValues" dxfId="5078" priority="2258"/>
    <cfRule type="duplicateValues" dxfId="5077" priority="2259"/>
    <cfRule type="duplicateValues" dxfId="5076" priority="2260"/>
    <cfRule type="duplicateValues" dxfId="5075" priority="2261"/>
    <cfRule type="duplicateValues" dxfId="5074" priority="2262"/>
    <cfRule type="duplicateValues" dxfId="5073" priority="2263"/>
    <cfRule type="duplicateValues" dxfId="5072" priority="2264"/>
    <cfRule type="duplicateValues" dxfId="5071" priority="2265"/>
    <cfRule type="duplicateValues" dxfId="5070" priority="2266"/>
    <cfRule type="duplicateValues" dxfId="5069" priority="2267"/>
    <cfRule type="duplicateValues" dxfId="5068" priority="2268"/>
    <cfRule type="duplicateValues" dxfId="5067" priority="2269"/>
    <cfRule type="duplicateValues" dxfId="5066" priority="2270"/>
    <cfRule type="duplicateValues" dxfId="5065" priority="2271"/>
    <cfRule type="duplicateValues" dxfId="5064" priority="2272"/>
    <cfRule type="duplicateValues" dxfId="5063" priority="2273"/>
    <cfRule type="duplicateValues" dxfId="5062" priority="2274"/>
    <cfRule type="duplicateValues" dxfId="5061" priority="2275"/>
    <cfRule type="duplicateValues" dxfId="5060" priority="2276"/>
    <cfRule type="duplicateValues" dxfId="5059" priority="2277"/>
    <cfRule type="duplicateValues" dxfId="5058" priority="2278"/>
    <cfRule type="duplicateValues" dxfId="5057" priority="2279"/>
    <cfRule type="duplicateValues" dxfId="5056" priority="2280"/>
    <cfRule type="duplicateValues" dxfId="5055" priority="2281"/>
    <cfRule type="duplicateValues" dxfId="5054" priority="2282"/>
    <cfRule type="duplicateValues" dxfId="5053" priority="2283"/>
    <cfRule type="duplicateValues" dxfId="5052" priority="2284"/>
    <cfRule type="duplicateValues" dxfId="5051" priority="2285"/>
    <cfRule type="duplicateValues" dxfId="5050" priority="2286"/>
    <cfRule type="duplicateValues" dxfId="5049" priority="2287"/>
  </conditionalFormatting>
  <conditionalFormatting sqref="D4">
    <cfRule type="duplicateValues" dxfId="5048" priority="2230"/>
    <cfRule type="duplicateValues" dxfId="5047" priority="2231"/>
    <cfRule type="duplicateValues" dxfId="5046" priority="2232"/>
    <cfRule type="duplicateValues" dxfId="5045" priority="2233"/>
    <cfRule type="duplicateValues" dxfId="5044" priority="2234"/>
    <cfRule type="duplicateValues" dxfId="5043" priority="2235"/>
    <cfRule type="duplicateValues" dxfId="5042" priority="2236"/>
    <cfRule type="duplicateValues" dxfId="5041" priority="2237"/>
    <cfRule type="duplicateValues" dxfId="5040" priority="2238"/>
    <cfRule type="duplicateValues" dxfId="5039" priority="2239"/>
    <cfRule type="duplicateValues" dxfId="5038" priority="2240"/>
    <cfRule type="duplicateValues" dxfId="5037" priority="2241"/>
    <cfRule type="duplicateValues" dxfId="5036" priority="2242"/>
    <cfRule type="duplicateValues" dxfId="5035" priority="2243"/>
    <cfRule type="duplicateValues" dxfId="5034" priority="2244"/>
    <cfRule type="duplicateValues" dxfId="5033" priority="2245"/>
    <cfRule type="duplicateValues" dxfId="5032" priority="2246"/>
    <cfRule type="duplicateValues" dxfId="5031" priority="2247"/>
    <cfRule type="duplicateValues" dxfId="5030" priority="2248"/>
    <cfRule type="duplicateValues" dxfId="5029" priority="2249"/>
  </conditionalFormatting>
  <conditionalFormatting sqref="D5">
    <cfRule type="duplicateValues" dxfId="5028" priority="2376"/>
    <cfRule type="duplicateValues" dxfId="5027" priority="2377"/>
    <cfRule type="duplicateValues" dxfId="5026" priority="2378"/>
    <cfRule type="duplicateValues" dxfId="5025" priority="2379"/>
    <cfRule type="duplicateValues" dxfId="5024" priority="2380"/>
    <cfRule type="duplicateValues" dxfId="5023" priority="2381"/>
    <cfRule type="duplicateValues" dxfId="5022" priority="2382"/>
    <cfRule type="duplicateValues" dxfId="5021" priority="2383"/>
    <cfRule type="duplicateValues" dxfId="5020" priority="2384"/>
    <cfRule type="duplicateValues" dxfId="5019" priority="2385"/>
    <cfRule type="duplicateValues" dxfId="5018" priority="2386"/>
    <cfRule type="duplicateValues" dxfId="5017" priority="2387"/>
    <cfRule type="duplicateValues" dxfId="5016" priority="2388"/>
    <cfRule type="duplicateValues" dxfId="5015" priority="2389"/>
    <cfRule type="duplicateValues" dxfId="5014" priority="2390"/>
    <cfRule type="duplicateValues" dxfId="5013" priority="2391"/>
    <cfRule type="duplicateValues" dxfId="5012" priority="2392"/>
    <cfRule type="duplicateValues" dxfId="5011" priority="2393"/>
    <cfRule type="duplicateValues" dxfId="5010" priority="2394"/>
    <cfRule type="duplicateValues" dxfId="5009" priority="2395"/>
    <cfRule type="duplicateValues" dxfId="5008" priority="2396"/>
    <cfRule type="duplicateValues" dxfId="5007" priority="2397"/>
    <cfRule type="duplicateValues" dxfId="5006" priority="2398"/>
    <cfRule type="duplicateValues" dxfId="5005" priority="2399"/>
    <cfRule type="duplicateValues" dxfId="5004" priority="2400"/>
    <cfRule type="duplicateValues" dxfId="5003" priority="2401"/>
    <cfRule type="duplicateValues" dxfId="5002" priority="2402"/>
    <cfRule type="duplicateValues" dxfId="5001" priority="2403"/>
    <cfRule type="duplicateValues" dxfId="5000" priority="2404"/>
    <cfRule type="duplicateValues" dxfId="4999" priority="2405"/>
    <cfRule type="duplicateValues" dxfId="4998" priority="2406"/>
    <cfRule type="duplicateValues" dxfId="4997" priority="2407"/>
    <cfRule type="duplicateValues" dxfId="4996" priority="2408"/>
    <cfRule type="duplicateValues" dxfId="4995" priority="2409"/>
    <cfRule type="duplicateValues" dxfId="4994" priority="2410"/>
  </conditionalFormatting>
  <conditionalFormatting sqref="D6">
    <cfRule type="duplicateValues" dxfId="4993" priority="1599"/>
    <cfRule type="duplicateValues" dxfId="4992" priority="1600"/>
    <cfRule type="duplicateValues" dxfId="4991" priority="1601"/>
    <cfRule type="duplicateValues" dxfId="4990" priority="1602"/>
    <cfRule type="duplicateValues" dxfId="4989" priority="1603"/>
    <cfRule type="duplicateValues" dxfId="4988" priority="1604"/>
    <cfRule type="duplicateValues" dxfId="4987" priority="1605"/>
    <cfRule type="duplicateValues" dxfId="4986" priority="1606"/>
    <cfRule type="duplicateValues" dxfId="4985" priority="1607"/>
    <cfRule type="duplicateValues" dxfId="4984" priority="1608"/>
    <cfRule type="duplicateValues" dxfId="4983" priority="1609"/>
    <cfRule type="duplicateValues" dxfId="4982" priority="1610"/>
    <cfRule type="duplicateValues" dxfId="4981" priority="1611"/>
    <cfRule type="duplicateValues" dxfId="4980" priority="1612"/>
  </conditionalFormatting>
  <conditionalFormatting sqref="D7:D8">
    <cfRule type="duplicateValues" dxfId="4979" priority="3756"/>
    <cfRule type="duplicateValues" dxfId="4978" priority="3757"/>
    <cfRule type="duplicateValues" dxfId="4977" priority="3758"/>
    <cfRule type="duplicateValues" dxfId="4976" priority="3759"/>
    <cfRule type="duplicateValues" dxfId="4975" priority="3760"/>
    <cfRule type="duplicateValues" dxfId="4974" priority="3761"/>
    <cfRule type="duplicateValues" dxfId="4973" priority="3762"/>
    <cfRule type="duplicateValues" dxfId="4972" priority="3763"/>
    <cfRule type="duplicateValues" dxfId="4971" priority="3764"/>
    <cfRule type="duplicateValues" dxfId="4970" priority="3765"/>
    <cfRule type="duplicateValues" dxfId="4969" priority="3766"/>
    <cfRule type="duplicateValues" dxfId="4968" priority="3767"/>
    <cfRule type="duplicateValues" dxfId="4967" priority="3768"/>
    <cfRule type="duplicateValues" dxfId="4966" priority="3769"/>
    <cfRule type="duplicateValues" dxfId="4965" priority="3770"/>
    <cfRule type="duplicateValues" dxfId="4964" priority="3771"/>
    <cfRule type="duplicateValues" dxfId="4963" priority="3772"/>
    <cfRule type="duplicateValues" dxfId="4962" priority="3773"/>
    <cfRule type="duplicateValues" dxfId="4961" priority="3774"/>
    <cfRule type="duplicateValues" dxfId="4960" priority="3775"/>
    <cfRule type="duplicateValues" dxfId="4959" priority="3776"/>
    <cfRule type="duplicateValues" dxfId="4958" priority="3777"/>
    <cfRule type="duplicateValues" dxfId="4957" priority="3778"/>
    <cfRule type="duplicateValues" dxfId="4956" priority="3779"/>
  </conditionalFormatting>
  <conditionalFormatting sqref="D9">
    <cfRule type="duplicateValues" dxfId="4955" priority="2721"/>
    <cfRule type="duplicateValues" dxfId="4954" priority="2722"/>
    <cfRule type="duplicateValues" dxfId="4953" priority="2723"/>
    <cfRule type="duplicateValues" dxfId="4952" priority="2724"/>
  </conditionalFormatting>
  <conditionalFormatting sqref="D10">
    <cfRule type="duplicateValues" dxfId="4951" priority="836"/>
    <cfRule type="duplicateValues" dxfId="4950" priority="837"/>
    <cfRule type="duplicateValues" dxfId="4949" priority="838"/>
  </conditionalFormatting>
  <conditionalFormatting sqref="D11">
    <cfRule type="duplicateValues" dxfId="4948" priority="5810"/>
  </conditionalFormatting>
  <conditionalFormatting sqref="D12">
    <cfRule type="duplicateValues" dxfId="4947" priority="3602"/>
    <cfRule type="duplicateValues" dxfId="4946" priority="3603"/>
    <cfRule type="duplicateValues" dxfId="4945" priority="3604"/>
    <cfRule type="duplicateValues" dxfId="4944" priority="3605"/>
    <cfRule type="duplicateValues" dxfId="4943" priority="3606"/>
    <cfRule type="duplicateValues" dxfId="4942" priority="3607"/>
    <cfRule type="duplicateValues" dxfId="4941" priority="3608"/>
  </conditionalFormatting>
  <conditionalFormatting sqref="D13">
    <cfRule type="duplicateValues" dxfId="4940" priority="5717"/>
    <cfRule type="duplicateValues" dxfId="4939" priority="5718"/>
    <cfRule type="duplicateValues" dxfId="4938" priority="5719"/>
    <cfRule type="duplicateValues" dxfId="4937" priority="5720"/>
  </conditionalFormatting>
  <conditionalFormatting sqref="D14">
    <cfRule type="duplicateValues" dxfId="4936" priority="5741"/>
    <cfRule type="duplicateValues" dxfId="4935" priority="5742"/>
  </conditionalFormatting>
  <conditionalFormatting sqref="D15">
    <cfRule type="duplicateValues" dxfId="4934" priority="5654"/>
    <cfRule type="duplicateValues" dxfId="4933" priority="5655"/>
    <cfRule type="duplicateValues" dxfId="4932" priority="5656"/>
    <cfRule type="duplicateValues" dxfId="4931" priority="5657"/>
    <cfRule type="duplicateValues" dxfId="4930" priority="5658"/>
    <cfRule type="duplicateValues" dxfId="4929" priority="5659"/>
    <cfRule type="duplicateValues" dxfId="4928" priority="5660"/>
    <cfRule type="duplicateValues" dxfId="4927" priority="5661"/>
    <cfRule type="duplicateValues" dxfId="4926" priority="5662"/>
    <cfRule type="duplicateValues" dxfId="4925" priority="5663"/>
    <cfRule type="duplicateValues" dxfId="4924" priority="5664"/>
    <cfRule type="duplicateValues" dxfId="4923" priority="5665"/>
    <cfRule type="duplicateValues" dxfId="4922" priority="5666"/>
    <cfRule type="duplicateValues" dxfId="4921" priority="5667"/>
    <cfRule type="duplicateValues" dxfId="4920" priority="5668"/>
    <cfRule type="duplicateValues" dxfId="4919" priority="5669"/>
    <cfRule type="duplicateValues" dxfId="4918" priority="5670"/>
    <cfRule type="duplicateValues" dxfId="4917" priority="5671"/>
  </conditionalFormatting>
  <conditionalFormatting sqref="D16">
    <cfRule type="duplicateValues" dxfId="4916" priority="236"/>
  </conditionalFormatting>
  <conditionalFormatting sqref="D17">
    <cfRule type="duplicateValues" dxfId="4915" priority="3979"/>
    <cfRule type="duplicateValues" dxfId="4914" priority="3980"/>
    <cfRule type="duplicateValues" dxfId="4913" priority="3981"/>
    <cfRule type="duplicateValues" dxfId="4912" priority="3982"/>
    <cfRule type="duplicateValues" dxfId="4911" priority="3983"/>
    <cfRule type="duplicateValues" dxfId="4910" priority="3984"/>
    <cfRule type="duplicateValues" dxfId="4909" priority="3985"/>
    <cfRule type="duplicateValues" dxfId="4908" priority="3986"/>
    <cfRule type="duplicateValues" dxfId="4907" priority="3987"/>
    <cfRule type="duplicateValues" dxfId="4906" priority="3988"/>
    <cfRule type="duplicateValues" dxfId="4905" priority="3989"/>
    <cfRule type="duplicateValues" dxfId="4904" priority="3990"/>
    <cfRule type="duplicateValues" dxfId="4903" priority="3991"/>
    <cfRule type="duplicateValues" dxfId="4902" priority="3992"/>
    <cfRule type="duplicateValues" dxfId="4901" priority="3993"/>
    <cfRule type="duplicateValues" dxfId="4900" priority="3994"/>
    <cfRule type="duplicateValues" dxfId="4899" priority="3995"/>
  </conditionalFormatting>
  <conditionalFormatting sqref="D18">
    <cfRule type="duplicateValues" dxfId="4898" priority="5450"/>
    <cfRule type="duplicateValues" dxfId="4897" priority="5451"/>
    <cfRule type="duplicateValues" dxfId="4896" priority="5452"/>
    <cfRule type="duplicateValues" dxfId="4895" priority="5453"/>
  </conditionalFormatting>
  <conditionalFormatting sqref="D19">
    <cfRule type="duplicateValues" dxfId="4894" priority="5773"/>
    <cfRule type="duplicateValues" dxfId="4893" priority="5774"/>
    <cfRule type="duplicateValues" dxfId="4892" priority="5775"/>
    <cfRule type="duplicateValues" dxfId="4891" priority="5776"/>
    <cfRule type="duplicateValues" dxfId="4890" priority="5777"/>
    <cfRule type="duplicateValues" dxfId="4889" priority="5778"/>
  </conditionalFormatting>
  <conditionalFormatting sqref="D20">
    <cfRule type="duplicateValues" dxfId="4888" priority="5672"/>
    <cfRule type="duplicateValues" dxfId="4887" priority="5673"/>
    <cfRule type="duplicateValues" dxfId="4886" priority="5674"/>
    <cfRule type="duplicateValues" dxfId="4885" priority="5675"/>
    <cfRule type="duplicateValues" dxfId="4884" priority="5676"/>
    <cfRule type="duplicateValues" dxfId="4883" priority="5677"/>
    <cfRule type="duplicateValues" dxfId="4882" priority="5678"/>
    <cfRule type="duplicateValues" dxfId="4881" priority="5679"/>
    <cfRule type="duplicateValues" dxfId="4880" priority="5680"/>
    <cfRule type="duplicateValues" dxfId="4879" priority="5681"/>
    <cfRule type="duplicateValues" dxfId="4878" priority="5682"/>
    <cfRule type="duplicateValues" dxfId="4877" priority="5683"/>
    <cfRule type="duplicateValues" dxfId="4876" priority="5684"/>
    <cfRule type="duplicateValues" dxfId="4875" priority="5685"/>
    <cfRule type="duplicateValues" dxfId="4874" priority="5686"/>
    <cfRule type="duplicateValues" dxfId="4873" priority="5687"/>
    <cfRule type="duplicateValues" dxfId="4872" priority="5688"/>
  </conditionalFormatting>
  <conditionalFormatting sqref="D21">
    <cfRule type="duplicateValues" dxfId="4871" priority="1324"/>
    <cfRule type="duplicateValues" dxfId="4870" priority="1325"/>
    <cfRule type="duplicateValues" dxfId="4869" priority="1326"/>
    <cfRule type="duplicateValues" dxfId="4868" priority="1327"/>
    <cfRule type="duplicateValues" dxfId="4867" priority="1328"/>
    <cfRule type="duplicateValues" dxfId="4866" priority="1329"/>
    <cfRule type="duplicateValues" dxfId="4865" priority="1330"/>
    <cfRule type="duplicateValues" dxfId="4864" priority="1331"/>
    <cfRule type="duplicateValues" dxfId="4863" priority="1332"/>
    <cfRule type="duplicateValues" dxfId="4862" priority="1333"/>
    <cfRule type="duplicateValues" dxfId="4861" priority="1334"/>
    <cfRule type="duplicateValues" dxfId="4860" priority="1335"/>
    <cfRule type="duplicateValues" dxfId="4859" priority="1336"/>
    <cfRule type="duplicateValues" dxfId="4858" priority="1337"/>
    <cfRule type="duplicateValues" dxfId="4857" priority="1338"/>
    <cfRule type="duplicateValues" dxfId="4856" priority="1339"/>
    <cfRule type="duplicateValues" dxfId="4855" priority="1340"/>
    <cfRule type="duplicateValues" dxfId="4854" priority="1341"/>
    <cfRule type="duplicateValues" dxfId="4853" priority="1342"/>
  </conditionalFormatting>
  <conditionalFormatting sqref="D22">
    <cfRule type="duplicateValues" dxfId="4852" priority="2840"/>
    <cfRule type="duplicateValues" dxfId="4851" priority="2841"/>
    <cfRule type="duplicateValues" dxfId="4850" priority="2842"/>
    <cfRule type="duplicateValues" dxfId="4849" priority="2843"/>
  </conditionalFormatting>
  <conditionalFormatting sqref="D23">
    <cfRule type="duplicateValues" dxfId="4848" priority="5151"/>
    <cfRule type="duplicateValues" dxfId="4847" priority="5152"/>
    <cfRule type="duplicateValues" dxfId="4846" priority="5153"/>
  </conditionalFormatting>
  <conditionalFormatting sqref="D24">
    <cfRule type="duplicateValues" dxfId="4845" priority="5417"/>
    <cfRule type="duplicateValues" dxfId="4844" priority="5418"/>
    <cfRule type="duplicateValues" dxfId="4843" priority="5419"/>
    <cfRule type="duplicateValues" dxfId="4842" priority="5420"/>
    <cfRule type="duplicateValues" dxfId="4841" priority="5421"/>
    <cfRule type="duplicateValues" dxfId="4840" priority="5422"/>
    <cfRule type="duplicateValues" dxfId="4839" priority="5423"/>
    <cfRule type="duplicateValues" dxfId="4838" priority="5424"/>
    <cfRule type="duplicateValues" dxfId="4837" priority="5425"/>
    <cfRule type="duplicateValues" dxfId="4836" priority="5426"/>
    <cfRule type="duplicateValues" dxfId="4835" priority="5427"/>
    <cfRule type="duplicateValues" dxfId="4834" priority="5689"/>
    <cfRule type="duplicateValues" dxfId="4833" priority="5690"/>
    <cfRule type="duplicateValues" dxfId="4832" priority="5691"/>
    <cfRule type="duplicateValues" dxfId="4831" priority="5692"/>
    <cfRule type="duplicateValues" dxfId="4830" priority="5693"/>
    <cfRule type="duplicateValues" dxfId="4829" priority="5694"/>
    <cfRule type="duplicateValues" dxfId="4828" priority="5695"/>
    <cfRule type="duplicateValues" dxfId="4827" priority="5696"/>
    <cfRule type="duplicateValues" dxfId="4826" priority="5697"/>
  </conditionalFormatting>
  <conditionalFormatting sqref="D25">
    <cfRule type="duplicateValues" dxfId="4825" priority="65"/>
    <cfRule type="duplicateValues" dxfId="4824" priority="66"/>
    <cfRule type="duplicateValues" dxfId="4823" priority="67"/>
    <cfRule type="duplicateValues" dxfId="4822" priority="68"/>
  </conditionalFormatting>
  <conditionalFormatting sqref="D26">
    <cfRule type="duplicateValues" dxfId="4821" priority="340"/>
    <cfRule type="duplicateValues" dxfId="4820" priority="341"/>
    <cfRule type="duplicateValues" dxfId="4819" priority="342"/>
    <cfRule type="duplicateValues" dxfId="4818" priority="343"/>
    <cfRule type="duplicateValues" dxfId="4817" priority="344"/>
    <cfRule type="duplicateValues" dxfId="4816" priority="345"/>
    <cfRule type="duplicateValues" dxfId="4815" priority="346"/>
    <cfRule type="duplicateValues" dxfId="4814" priority="347"/>
    <cfRule type="duplicateValues" dxfId="4813" priority="348"/>
    <cfRule type="duplicateValues" dxfId="4812" priority="349"/>
    <cfRule type="duplicateValues" dxfId="4811" priority="350"/>
    <cfRule type="duplicateValues" dxfId="4810" priority="351"/>
    <cfRule type="duplicateValues" dxfId="4809" priority="352"/>
    <cfRule type="duplicateValues" dxfId="4808" priority="353"/>
    <cfRule type="duplicateValues" dxfId="4807" priority="354"/>
    <cfRule type="duplicateValues" dxfId="4806" priority="355"/>
    <cfRule type="duplicateValues" dxfId="4805" priority="356"/>
    <cfRule type="duplicateValues" dxfId="4804" priority="357"/>
    <cfRule type="duplicateValues" dxfId="4803" priority="358"/>
    <cfRule type="duplicateValues" dxfId="4802" priority="359"/>
    <cfRule type="duplicateValues" dxfId="4801" priority="360"/>
    <cfRule type="duplicateValues" dxfId="4800" priority="361"/>
    <cfRule type="duplicateValues" dxfId="4799" priority="362"/>
    <cfRule type="duplicateValues" dxfId="4798" priority="363"/>
    <cfRule type="duplicateValues" dxfId="4797" priority="364"/>
    <cfRule type="duplicateValues" dxfId="4796" priority="365"/>
    <cfRule type="duplicateValues" dxfId="4795" priority="366"/>
    <cfRule type="duplicateValues" dxfId="4794" priority="367"/>
    <cfRule type="duplicateValues" dxfId="4793" priority="368"/>
    <cfRule type="duplicateValues" dxfId="4792" priority="369"/>
    <cfRule type="duplicateValues" dxfId="4791" priority="370"/>
    <cfRule type="duplicateValues" dxfId="4790" priority="371"/>
    <cfRule type="duplicateValues" dxfId="4789" priority="372"/>
    <cfRule type="duplicateValues" dxfId="4788" priority="373"/>
    <cfRule type="duplicateValues" dxfId="4787" priority="374"/>
    <cfRule type="duplicateValues" dxfId="4786" priority="375"/>
    <cfRule type="duplicateValues" dxfId="4785" priority="376"/>
    <cfRule type="duplicateValues" dxfId="4784" priority="377"/>
  </conditionalFormatting>
  <conditionalFormatting sqref="D27">
    <cfRule type="duplicateValues" dxfId="4783" priority="4194"/>
    <cfRule type="duplicateValues" dxfId="4782" priority="4195"/>
    <cfRule type="duplicateValues" dxfId="4781" priority="4196"/>
    <cfRule type="duplicateValues" dxfId="4780" priority="4197"/>
  </conditionalFormatting>
  <conditionalFormatting sqref="D28">
    <cfRule type="duplicateValues" dxfId="4779" priority="1244"/>
    <cfRule type="duplicateValues" dxfId="4778" priority="1245"/>
    <cfRule type="duplicateValues" dxfId="4777" priority="1246"/>
    <cfRule type="duplicateValues" dxfId="4776" priority="1247"/>
    <cfRule type="duplicateValues" dxfId="4775" priority="1248"/>
    <cfRule type="duplicateValues" dxfId="4774" priority="1249"/>
    <cfRule type="duplicateValues" dxfId="4773" priority="1250"/>
  </conditionalFormatting>
  <conditionalFormatting sqref="D29">
    <cfRule type="duplicateValues" dxfId="4772" priority="2012"/>
    <cfRule type="duplicateValues" dxfId="4771" priority="2013"/>
    <cfRule type="duplicateValues" dxfId="4770" priority="2014"/>
    <cfRule type="duplicateValues" dxfId="4769" priority="2015"/>
    <cfRule type="duplicateValues" dxfId="4768" priority="2016"/>
    <cfRule type="duplicateValues" dxfId="4767" priority="2017"/>
    <cfRule type="duplicateValues" dxfId="4766" priority="2018"/>
    <cfRule type="duplicateValues" dxfId="4765" priority="2019"/>
    <cfRule type="duplicateValues" dxfId="4764" priority="2020"/>
    <cfRule type="duplicateValues" dxfId="4763" priority="2021"/>
    <cfRule type="duplicateValues" dxfId="4762" priority="2022"/>
    <cfRule type="duplicateValues" dxfId="4761" priority="2023"/>
  </conditionalFormatting>
  <conditionalFormatting sqref="D30">
    <cfRule type="duplicateValues" dxfId="4760" priority="5441"/>
    <cfRule type="duplicateValues" dxfId="4759" priority="5442"/>
    <cfRule type="duplicateValues" dxfId="4758" priority="5443"/>
    <cfRule type="duplicateValues" dxfId="4757" priority="5444"/>
    <cfRule type="duplicateValues" dxfId="4756" priority="5445"/>
    <cfRule type="duplicateValues" dxfId="4755" priority="5446"/>
    <cfRule type="duplicateValues" dxfId="4754" priority="5447"/>
    <cfRule type="duplicateValues" dxfId="4753" priority="5448"/>
    <cfRule type="duplicateValues" dxfId="4752" priority="5449"/>
  </conditionalFormatting>
  <conditionalFormatting sqref="D31:D32">
    <cfRule type="duplicateValues" dxfId="4751" priority="2845"/>
    <cfRule type="duplicateValues" dxfId="4750" priority="2846"/>
    <cfRule type="duplicateValues" dxfId="4749" priority="2847"/>
    <cfRule type="duplicateValues" dxfId="4748" priority="2848"/>
    <cfRule type="duplicateValues" dxfId="4747" priority="2849"/>
    <cfRule type="duplicateValues" dxfId="4746" priority="2850"/>
  </conditionalFormatting>
  <conditionalFormatting sqref="D33">
    <cfRule type="duplicateValues" dxfId="4745" priority="5318"/>
    <cfRule type="duplicateValues" dxfId="4744" priority="5319"/>
    <cfRule type="duplicateValues" dxfId="4743" priority="5320"/>
    <cfRule type="duplicateValues" dxfId="4742" priority="5321"/>
    <cfRule type="duplicateValues" dxfId="4741" priority="5322"/>
    <cfRule type="duplicateValues" dxfId="4740" priority="5323"/>
    <cfRule type="duplicateValues" dxfId="4739" priority="5324"/>
  </conditionalFormatting>
  <conditionalFormatting sqref="D34">
    <cfRule type="duplicateValues" dxfId="4738" priority="758"/>
    <cfRule type="duplicateValues" dxfId="4737" priority="759"/>
    <cfRule type="duplicateValues" dxfId="4736" priority="760"/>
    <cfRule type="duplicateValues" dxfId="4735" priority="761"/>
    <cfRule type="duplicateValues" dxfId="4734" priority="762"/>
    <cfRule type="duplicateValues" dxfId="4733" priority="763"/>
    <cfRule type="duplicateValues" dxfId="4732" priority="764"/>
    <cfRule type="duplicateValues" dxfId="4731" priority="765"/>
    <cfRule type="duplicateValues" dxfId="4730" priority="766"/>
    <cfRule type="duplicateValues" dxfId="4729" priority="767"/>
    <cfRule type="duplicateValues" dxfId="4728" priority="768"/>
    <cfRule type="duplicateValues" dxfId="4727" priority="769"/>
    <cfRule type="duplicateValues" dxfId="4726" priority="770"/>
    <cfRule type="duplicateValues" dxfId="4725" priority="771"/>
    <cfRule type="duplicateValues" dxfId="4724" priority="772"/>
    <cfRule type="duplicateValues" dxfId="4723" priority="773"/>
    <cfRule type="duplicateValues" dxfId="4722" priority="774"/>
    <cfRule type="duplicateValues" dxfId="4721" priority="775"/>
    <cfRule type="duplicateValues" dxfId="4720" priority="776"/>
  </conditionalFormatting>
  <conditionalFormatting sqref="D35">
    <cfRule type="duplicateValues" dxfId="4719" priority="69"/>
    <cfRule type="duplicateValues" dxfId="4718" priority="70"/>
    <cfRule type="duplicateValues" dxfId="4717" priority="71"/>
    <cfRule type="duplicateValues" dxfId="4716" priority="72"/>
  </conditionalFormatting>
  <conditionalFormatting sqref="D36">
    <cfRule type="duplicateValues" dxfId="4715" priority="1655"/>
    <cfRule type="duplicateValues" dxfId="4714" priority="1656"/>
    <cfRule type="duplicateValues" dxfId="4713" priority="1657"/>
    <cfRule type="duplicateValues" dxfId="4712" priority="1658"/>
    <cfRule type="duplicateValues" dxfId="4711" priority="1659"/>
    <cfRule type="duplicateValues" dxfId="4710" priority="1660"/>
    <cfRule type="duplicateValues" dxfId="4709" priority="1661"/>
    <cfRule type="duplicateValues" dxfId="4708" priority="1662"/>
    <cfRule type="duplicateValues" dxfId="4707" priority="1663"/>
    <cfRule type="duplicateValues" dxfId="4706" priority="1664"/>
    <cfRule type="duplicateValues" dxfId="4705" priority="1665"/>
    <cfRule type="duplicateValues" dxfId="4704" priority="1666"/>
    <cfRule type="duplicateValues" dxfId="4703" priority="1667"/>
    <cfRule type="duplicateValues" dxfId="4702" priority="1668"/>
    <cfRule type="duplicateValues" dxfId="4701" priority="1669"/>
    <cfRule type="duplicateValues" dxfId="4700" priority="1670"/>
    <cfRule type="duplicateValues" dxfId="4699" priority="1671"/>
    <cfRule type="duplicateValues" dxfId="4698" priority="1672"/>
    <cfRule type="duplicateValues" dxfId="4697" priority="1673"/>
    <cfRule type="duplicateValues" dxfId="4696" priority="1674"/>
    <cfRule type="duplicateValues" dxfId="4695" priority="1675"/>
    <cfRule type="duplicateValues" dxfId="4694" priority="1676"/>
    <cfRule type="duplicateValues" dxfId="4693" priority="1677"/>
    <cfRule type="duplicateValues" dxfId="4692" priority="1678"/>
    <cfRule type="duplicateValues" dxfId="4691" priority="1679"/>
    <cfRule type="duplicateValues" dxfId="4690" priority="1680"/>
    <cfRule type="duplicateValues" dxfId="4689" priority="1681"/>
    <cfRule type="duplicateValues" dxfId="4688" priority="1682"/>
    <cfRule type="duplicateValues" dxfId="4687" priority="1683"/>
    <cfRule type="duplicateValues" dxfId="4686" priority="1684"/>
    <cfRule type="duplicateValues" dxfId="4685" priority="1685"/>
    <cfRule type="duplicateValues" dxfId="4684" priority="1686"/>
    <cfRule type="duplicateValues" dxfId="4683" priority="1687"/>
    <cfRule type="duplicateValues" dxfId="4682" priority="1688"/>
    <cfRule type="duplicateValues" dxfId="4681" priority="1689"/>
    <cfRule type="duplicateValues" dxfId="4680" priority="1690"/>
    <cfRule type="duplicateValues" dxfId="4679" priority="1691"/>
    <cfRule type="duplicateValues" dxfId="4678" priority="1692"/>
    <cfRule type="duplicateValues" dxfId="4677" priority="1693"/>
  </conditionalFormatting>
  <conditionalFormatting sqref="D37">
    <cfRule type="duplicateValues" dxfId="4676" priority="5156"/>
    <cfRule type="duplicateValues" dxfId="4675" priority="5157"/>
    <cfRule type="duplicateValues" dxfId="4674" priority="5158"/>
    <cfRule type="duplicateValues" dxfId="4673" priority="5159"/>
    <cfRule type="duplicateValues" dxfId="4672" priority="5160"/>
    <cfRule type="duplicateValues" dxfId="4671" priority="5161"/>
    <cfRule type="duplicateValues" dxfId="4670" priority="5162"/>
    <cfRule type="duplicateValues" dxfId="4669" priority="5163"/>
    <cfRule type="duplicateValues" dxfId="4668" priority="5164"/>
    <cfRule type="duplicateValues" dxfId="4667" priority="5165"/>
    <cfRule type="duplicateValues" dxfId="4666" priority="5166"/>
    <cfRule type="duplicateValues" dxfId="4665" priority="5167"/>
    <cfRule type="duplicateValues" dxfId="4664" priority="5168"/>
  </conditionalFormatting>
  <conditionalFormatting sqref="D38">
    <cfRule type="duplicateValues" dxfId="4663" priority="2079"/>
    <cfRule type="duplicateValues" dxfId="4662" priority="2080"/>
    <cfRule type="duplicateValues" dxfId="4661" priority="2081"/>
    <cfRule type="duplicateValues" dxfId="4660" priority="2082"/>
    <cfRule type="duplicateValues" dxfId="4659" priority="2083"/>
    <cfRule type="duplicateValues" dxfId="4658" priority="2084"/>
    <cfRule type="duplicateValues" dxfId="4657" priority="2085"/>
    <cfRule type="duplicateValues" dxfId="4656" priority="2086"/>
    <cfRule type="duplicateValues" dxfId="4655" priority="2087"/>
    <cfRule type="duplicateValues" dxfId="4654" priority="2088"/>
    <cfRule type="duplicateValues" dxfId="4653" priority="2089"/>
    <cfRule type="duplicateValues" dxfId="4652" priority="2090"/>
    <cfRule type="duplicateValues" dxfId="4651" priority="2091"/>
    <cfRule type="duplicateValues" dxfId="4650" priority="2092"/>
    <cfRule type="duplicateValues" dxfId="4649" priority="2093"/>
    <cfRule type="duplicateValues" dxfId="4648" priority="2094"/>
    <cfRule type="duplicateValues" dxfId="4647" priority="2095"/>
    <cfRule type="duplicateValues" dxfId="4646" priority="2096"/>
    <cfRule type="duplicateValues" dxfId="4645" priority="2097"/>
    <cfRule type="duplicateValues" dxfId="4644" priority="2098"/>
    <cfRule type="duplicateValues" dxfId="4643" priority="2099"/>
    <cfRule type="duplicateValues" dxfId="4642" priority="2100"/>
    <cfRule type="duplicateValues" dxfId="4641" priority="2101"/>
    <cfRule type="duplicateValues" dxfId="4640" priority="2102"/>
    <cfRule type="duplicateValues" dxfId="4639" priority="2103"/>
    <cfRule type="duplicateValues" dxfId="4638" priority="2104"/>
    <cfRule type="duplicateValues" dxfId="4637" priority="2105"/>
    <cfRule type="duplicateValues" dxfId="4636" priority="2106"/>
    <cfRule type="duplicateValues" dxfId="4635" priority="2107"/>
  </conditionalFormatting>
  <conditionalFormatting sqref="D39">
    <cfRule type="duplicateValues" dxfId="4634" priority="178"/>
    <cfRule type="duplicateValues" dxfId="4633" priority="179"/>
    <cfRule type="duplicateValues" dxfId="4632" priority="180"/>
    <cfRule type="duplicateValues" dxfId="4631" priority="181"/>
    <cfRule type="duplicateValues" dxfId="4630" priority="182"/>
    <cfRule type="duplicateValues" dxfId="4629" priority="183"/>
    <cfRule type="duplicateValues" dxfId="4628" priority="184"/>
    <cfRule type="duplicateValues" dxfId="4627" priority="185"/>
    <cfRule type="duplicateValues" dxfId="4626" priority="186"/>
    <cfRule type="duplicateValues" dxfId="4625" priority="187"/>
    <cfRule type="duplicateValues" dxfId="4624" priority="188"/>
    <cfRule type="duplicateValues" dxfId="4623" priority="189"/>
    <cfRule type="duplicateValues" dxfId="4622" priority="190"/>
    <cfRule type="duplicateValues" dxfId="4621" priority="191"/>
    <cfRule type="duplicateValues" dxfId="4620" priority="192"/>
    <cfRule type="duplicateValues" dxfId="4619" priority="193"/>
    <cfRule type="duplicateValues" dxfId="4618" priority="194"/>
    <cfRule type="duplicateValues" dxfId="4617" priority="195"/>
    <cfRule type="duplicateValues" dxfId="4616" priority="196"/>
    <cfRule type="duplicateValues" dxfId="4615" priority="197"/>
    <cfRule type="duplicateValues" dxfId="4614" priority="198"/>
    <cfRule type="duplicateValues" dxfId="4613" priority="199"/>
    <cfRule type="duplicateValues" dxfId="4612" priority="200"/>
    <cfRule type="duplicateValues" dxfId="4611" priority="201"/>
  </conditionalFormatting>
  <conditionalFormatting sqref="D40">
    <cfRule type="duplicateValues" dxfId="4610" priority="1969"/>
    <cfRule type="duplicateValues" dxfId="4609" priority="1970"/>
    <cfRule type="duplicateValues" dxfId="4608" priority="1971"/>
    <cfRule type="duplicateValues" dxfId="4607" priority="1972"/>
    <cfRule type="duplicateValues" dxfId="4606" priority="1973"/>
    <cfRule type="duplicateValues" dxfId="4605" priority="1974"/>
    <cfRule type="duplicateValues" dxfId="4604" priority="1975"/>
    <cfRule type="duplicateValues" dxfId="4603" priority="1976"/>
    <cfRule type="duplicateValues" dxfId="4602" priority="1977"/>
    <cfRule type="duplicateValues" dxfId="4601" priority="1978"/>
    <cfRule type="duplicateValues" dxfId="4600" priority="1979"/>
    <cfRule type="duplicateValues" dxfId="4599" priority="1980"/>
    <cfRule type="duplicateValues" dxfId="4598" priority="1981"/>
    <cfRule type="duplicateValues" dxfId="4597" priority="1982"/>
    <cfRule type="duplicateValues" dxfId="4596" priority="1983"/>
    <cfRule type="duplicateValues" dxfId="4595" priority="1984"/>
    <cfRule type="duplicateValues" dxfId="4594" priority="1985"/>
    <cfRule type="duplicateValues" dxfId="4593" priority="1986"/>
    <cfRule type="duplicateValues" dxfId="4592" priority="1987"/>
    <cfRule type="duplicateValues" dxfId="4591" priority="1988"/>
    <cfRule type="duplicateValues" dxfId="4590" priority="1989"/>
    <cfRule type="duplicateValues" dxfId="4589" priority="1990"/>
  </conditionalFormatting>
  <conditionalFormatting sqref="D41:D42">
    <cfRule type="duplicateValues" dxfId="4588" priority="5032"/>
    <cfRule type="duplicateValues" dxfId="4587" priority="5033"/>
    <cfRule type="duplicateValues" dxfId="4586" priority="5034"/>
    <cfRule type="duplicateValues" dxfId="4585" priority="5035"/>
    <cfRule type="duplicateValues" dxfId="4584" priority="5036"/>
    <cfRule type="duplicateValues" dxfId="4583" priority="5037"/>
    <cfRule type="duplicateValues" dxfId="4582" priority="5038"/>
    <cfRule type="duplicateValues" dxfId="4581" priority="5039"/>
    <cfRule type="duplicateValues" dxfId="4580" priority="5040"/>
    <cfRule type="duplicateValues" dxfId="4579" priority="5041"/>
    <cfRule type="duplicateValues" dxfId="4578" priority="5042"/>
    <cfRule type="duplicateValues" dxfId="4577" priority="5043"/>
    <cfRule type="duplicateValues" dxfId="4576" priority="5044"/>
    <cfRule type="duplicateValues" dxfId="4575" priority="5045"/>
    <cfRule type="duplicateValues" dxfId="4574" priority="5046"/>
    <cfRule type="duplicateValues" dxfId="4573" priority="5047"/>
    <cfRule type="duplicateValues" dxfId="4572" priority="5048"/>
    <cfRule type="duplicateValues" dxfId="4571" priority="5049"/>
    <cfRule type="duplicateValues" dxfId="4570" priority="5050"/>
    <cfRule type="duplicateValues" dxfId="4569" priority="5051"/>
    <cfRule type="duplicateValues" dxfId="4568" priority="5052"/>
    <cfRule type="duplicateValues" dxfId="4567" priority="5053"/>
    <cfRule type="duplicateValues" dxfId="4566" priority="5054"/>
    <cfRule type="duplicateValues" dxfId="4565" priority="5055"/>
    <cfRule type="duplicateValues" dxfId="4564" priority="5056"/>
    <cfRule type="duplicateValues" dxfId="4563" priority="5057"/>
    <cfRule type="duplicateValues" dxfId="4562" priority="5058"/>
    <cfRule type="duplicateValues" dxfId="4561" priority="5059"/>
    <cfRule type="duplicateValues" dxfId="4560" priority="5060"/>
    <cfRule type="duplicateValues" dxfId="4559" priority="5061"/>
    <cfRule type="duplicateValues" dxfId="4558" priority="5062"/>
    <cfRule type="duplicateValues" dxfId="4557" priority="5063"/>
    <cfRule type="duplicateValues" dxfId="4556" priority="5064"/>
    <cfRule type="duplicateValues" dxfId="4555" priority="5065"/>
    <cfRule type="duplicateValues" dxfId="4554" priority="5066"/>
    <cfRule type="duplicateValues" dxfId="4553" priority="5067"/>
    <cfRule type="duplicateValues" dxfId="4552" priority="5068"/>
    <cfRule type="duplicateValues" dxfId="4551" priority="5069"/>
    <cfRule type="duplicateValues" dxfId="4550" priority="5070"/>
    <cfRule type="duplicateValues" dxfId="4549" priority="5071"/>
    <cfRule type="duplicateValues" dxfId="4548" priority="5072"/>
    <cfRule type="duplicateValues" dxfId="4547" priority="5073"/>
    <cfRule type="duplicateValues" dxfId="4546" priority="5074"/>
    <cfRule type="duplicateValues" dxfId="4545" priority="5075"/>
    <cfRule type="duplicateValues" dxfId="4544" priority="5076"/>
    <cfRule type="duplicateValues" dxfId="4543" priority="5077"/>
    <cfRule type="duplicateValues" dxfId="4542" priority="5078"/>
    <cfRule type="duplicateValues" dxfId="4541" priority="5079"/>
  </conditionalFormatting>
  <conditionalFormatting sqref="D43">
    <cfRule type="duplicateValues" dxfId="4540" priority="4377"/>
    <cfRule type="duplicateValues" dxfId="4539" priority="4378"/>
    <cfRule type="duplicateValues" dxfId="4538" priority="4379"/>
    <cfRule type="duplicateValues" dxfId="4537" priority="4380"/>
  </conditionalFormatting>
  <conditionalFormatting sqref="D44">
    <cfRule type="duplicateValues" dxfId="4536" priority="2352"/>
    <cfRule type="duplicateValues" dxfId="4535" priority="2353"/>
    <cfRule type="duplicateValues" dxfId="4534" priority="2354"/>
    <cfRule type="duplicateValues" dxfId="4533" priority="2355"/>
    <cfRule type="duplicateValues" dxfId="4532" priority="2356"/>
    <cfRule type="duplicateValues" dxfId="4531" priority="2357"/>
    <cfRule type="duplicateValues" dxfId="4530" priority="2358"/>
    <cfRule type="duplicateValues" dxfId="4529" priority="2359"/>
    <cfRule type="duplicateValues" dxfId="4528" priority="2360"/>
    <cfRule type="duplicateValues" dxfId="4527" priority="2361"/>
    <cfRule type="duplicateValues" dxfId="4526" priority="2362"/>
    <cfRule type="duplicateValues" dxfId="4525" priority="2363"/>
    <cfRule type="duplicateValues" dxfId="4524" priority="2364"/>
    <cfRule type="duplicateValues" dxfId="4523" priority="2365"/>
    <cfRule type="duplicateValues" dxfId="4522" priority="2366"/>
    <cfRule type="duplicateValues" dxfId="4521" priority="2367"/>
    <cfRule type="duplicateValues" dxfId="4520" priority="2368"/>
    <cfRule type="duplicateValues" dxfId="4519" priority="2369"/>
    <cfRule type="duplicateValues" dxfId="4518" priority="2370"/>
    <cfRule type="duplicateValues" dxfId="4517" priority="2371"/>
  </conditionalFormatting>
  <conditionalFormatting sqref="D45">
    <cfRule type="duplicateValues" dxfId="4516" priority="865"/>
    <cfRule type="duplicateValues" dxfId="4515" priority="866"/>
    <cfRule type="duplicateValues" dxfId="4514" priority="867"/>
    <cfRule type="duplicateValues" dxfId="4513" priority="868"/>
    <cfRule type="duplicateValues" dxfId="4512" priority="869"/>
    <cfRule type="duplicateValues" dxfId="4511" priority="870"/>
    <cfRule type="duplicateValues" dxfId="4510" priority="871"/>
  </conditionalFormatting>
  <conditionalFormatting sqref="D46">
    <cfRule type="duplicateValues" dxfId="4509" priority="5578"/>
    <cfRule type="duplicateValues" dxfId="4508" priority="5579"/>
    <cfRule type="duplicateValues" dxfId="4507" priority="5580"/>
    <cfRule type="duplicateValues" dxfId="4506" priority="5581"/>
    <cfRule type="duplicateValues" dxfId="4505" priority="5582"/>
    <cfRule type="duplicateValues" dxfId="4504" priority="5583"/>
    <cfRule type="duplicateValues" dxfId="4503" priority="5584"/>
    <cfRule type="duplicateValues" dxfId="4502" priority="5585"/>
    <cfRule type="duplicateValues" dxfId="4501" priority="5586"/>
    <cfRule type="duplicateValues" dxfId="4500" priority="5587"/>
    <cfRule type="duplicateValues" dxfId="4499" priority="5588"/>
    <cfRule type="duplicateValues" dxfId="4498" priority="5589"/>
    <cfRule type="duplicateValues" dxfId="4497" priority="5590"/>
    <cfRule type="duplicateValues" dxfId="4496" priority="5591"/>
    <cfRule type="duplicateValues" dxfId="4495" priority="5592"/>
    <cfRule type="duplicateValues" dxfId="4494" priority="5593"/>
    <cfRule type="duplicateValues" dxfId="4493" priority="5594"/>
    <cfRule type="duplicateValues" dxfId="4492" priority="5595"/>
    <cfRule type="duplicateValues" dxfId="4491" priority="5596"/>
    <cfRule type="duplicateValues" dxfId="4490" priority="5597"/>
  </conditionalFormatting>
  <conditionalFormatting sqref="D47">
    <cfRule type="duplicateValues" dxfId="4489" priority="2926"/>
    <cfRule type="duplicateValues" dxfId="4488" priority="2927"/>
    <cfRule type="duplicateValues" dxfId="4487" priority="2928"/>
    <cfRule type="duplicateValues" dxfId="4486" priority="2929"/>
    <cfRule type="duplicateValues" dxfId="4485" priority="2930"/>
    <cfRule type="duplicateValues" dxfId="4484" priority="2931"/>
    <cfRule type="duplicateValues" dxfId="4483" priority="2932"/>
    <cfRule type="duplicateValues" dxfId="4482" priority="2933"/>
    <cfRule type="duplicateValues" dxfId="4481" priority="2934"/>
    <cfRule type="duplicateValues" dxfId="4480" priority="2935"/>
    <cfRule type="duplicateValues" dxfId="4479" priority="2936"/>
    <cfRule type="duplicateValues" dxfId="4478" priority="2937"/>
    <cfRule type="duplicateValues" dxfId="4477" priority="2938"/>
    <cfRule type="duplicateValues" dxfId="4476" priority="2939"/>
    <cfRule type="duplicateValues" dxfId="4475" priority="2940"/>
    <cfRule type="duplicateValues" dxfId="4474" priority="2941"/>
    <cfRule type="duplicateValues" dxfId="4473" priority="2942"/>
    <cfRule type="duplicateValues" dxfId="4472" priority="2943"/>
    <cfRule type="duplicateValues" dxfId="4471" priority="2944"/>
    <cfRule type="duplicateValues" dxfId="4470" priority="2945"/>
  </conditionalFormatting>
  <conditionalFormatting sqref="D48">
    <cfRule type="duplicateValues" dxfId="4469" priority="2028"/>
    <cfRule type="duplicateValues" dxfId="4468" priority="2029"/>
    <cfRule type="duplicateValues" dxfId="4467" priority="2030"/>
    <cfRule type="duplicateValues" dxfId="4466" priority="2031"/>
    <cfRule type="duplicateValues" dxfId="4465" priority="2032"/>
    <cfRule type="duplicateValues" dxfId="4464" priority="2033"/>
    <cfRule type="duplicateValues" dxfId="4463" priority="2034"/>
    <cfRule type="duplicateValues" dxfId="4462" priority="2035"/>
    <cfRule type="duplicateValues" dxfId="4461" priority="2036"/>
    <cfRule type="duplicateValues" dxfId="4460" priority="2037"/>
    <cfRule type="duplicateValues" dxfId="4459" priority="2038"/>
    <cfRule type="duplicateValues" dxfId="4458" priority="2039"/>
    <cfRule type="duplicateValues" dxfId="4457" priority="2040"/>
    <cfRule type="duplicateValues" dxfId="4456" priority="2041"/>
    <cfRule type="duplicateValues" dxfId="4455" priority="2042"/>
    <cfRule type="duplicateValues" dxfId="4454" priority="2043"/>
    <cfRule type="duplicateValues" dxfId="4453" priority="2044"/>
    <cfRule type="duplicateValues" dxfId="4452" priority="2045"/>
    <cfRule type="duplicateValues" dxfId="4451" priority="2046"/>
    <cfRule type="duplicateValues" dxfId="4450" priority="2047"/>
    <cfRule type="duplicateValues" dxfId="4449" priority="2048"/>
    <cfRule type="duplicateValues" dxfId="4448" priority="2049"/>
    <cfRule type="duplicateValues" dxfId="4447" priority="2050"/>
    <cfRule type="duplicateValues" dxfId="4446" priority="2051"/>
    <cfRule type="duplicateValues" dxfId="4445" priority="2052"/>
    <cfRule type="duplicateValues" dxfId="4444" priority="2053"/>
    <cfRule type="duplicateValues" dxfId="4443" priority="2054"/>
    <cfRule type="duplicateValues" dxfId="4442" priority="2055"/>
    <cfRule type="duplicateValues" dxfId="4441" priority="2056"/>
    <cfRule type="duplicateValues" dxfId="4440" priority="2057"/>
    <cfRule type="duplicateValues" dxfId="4439" priority="2058"/>
    <cfRule type="duplicateValues" dxfId="4438" priority="2059"/>
    <cfRule type="duplicateValues" dxfId="4437" priority="2060"/>
    <cfRule type="duplicateValues" dxfId="4436" priority="2061"/>
    <cfRule type="duplicateValues" dxfId="4435" priority="2062"/>
  </conditionalFormatting>
  <conditionalFormatting sqref="D49">
    <cfRule type="duplicateValues" dxfId="4434" priority="586"/>
    <cfRule type="duplicateValues" dxfId="4433" priority="587"/>
    <cfRule type="duplicateValues" dxfId="4432" priority="588"/>
    <cfRule type="duplicateValues" dxfId="4431" priority="589"/>
    <cfRule type="duplicateValues" dxfId="4430" priority="590"/>
  </conditionalFormatting>
  <conditionalFormatting sqref="D51">
    <cfRule type="duplicateValues" dxfId="4429" priority="4731"/>
    <cfRule type="duplicateValues" dxfId="4428" priority="4732"/>
    <cfRule type="duplicateValues" dxfId="4427" priority="4733"/>
    <cfRule type="duplicateValues" dxfId="4426" priority="4734"/>
    <cfRule type="duplicateValues" dxfId="4425" priority="4735"/>
    <cfRule type="duplicateValues" dxfId="4424" priority="4736"/>
    <cfRule type="duplicateValues" dxfId="4423" priority="4737"/>
    <cfRule type="duplicateValues" dxfId="4422" priority="4738"/>
    <cfRule type="duplicateValues" dxfId="4421" priority="4739"/>
    <cfRule type="duplicateValues" dxfId="4420" priority="4740"/>
    <cfRule type="duplicateValues" dxfId="4419" priority="4741"/>
    <cfRule type="duplicateValues" dxfId="4418" priority="4742"/>
    <cfRule type="duplicateValues" dxfId="4417" priority="4743"/>
    <cfRule type="duplicateValues" dxfId="4416" priority="4744"/>
    <cfRule type="duplicateValues" dxfId="4415" priority="4745"/>
    <cfRule type="duplicateValues" dxfId="4414" priority="4746"/>
    <cfRule type="duplicateValues" dxfId="4413" priority="4747"/>
    <cfRule type="duplicateValues" dxfId="4412" priority="4748"/>
    <cfRule type="duplicateValues" dxfId="4411" priority="4749"/>
  </conditionalFormatting>
  <conditionalFormatting sqref="D52">
    <cfRule type="duplicateValues" dxfId="4410" priority="1111"/>
  </conditionalFormatting>
  <conditionalFormatting sqref="D53">
    <cfRule type="duplicateValues" dxfId="4409" priority="5207"/>
  </conditionalFormatting>
  <conditionalFormatting sqref="D54">
    <cfRule type="duplicateValues" dxfId="4408" priority="5779"/>
    <cfRule type="duplicateValues" dxfId="4407" priority="5780"/>
    <cfRule type="duplicateValues" dxfId="4406" priority="5781"/>
    <cfRule type="duplicateValues" dxfId="4405" priority="5782"/>
    <cfRule type="duplicateValues" dxfId="4404" priority="5783"/>
    <cfRule type="duplicateValues" dxfId="4403" priority="5784"/>
    <cfRule type="duplicateValues" dxfId="4402" priority="5785"/>
    <cfRule type="duplicateValues" dxfId="4401" priority="5786"/>
  </conditionalFormatting>
  <conditionalFormatting sqref="D55">
    <cfRule type="duplicateValues" dxfId="4400" priority="2660"/>
    <cfRule type="duplicateValues" dxfId="4399" priority="2661"/>
    <cfRule type="duplicateValues" dxfId="4398" priority="2662"/>
    <cfRule type="duplicateValues" dxfId="4397" priority="2663"/>
    <cfRule type="duplicateValues" dxfId="4396" priority="2664"/>
    <cfRule type="duplicateValues" dxfId="4395" priority="2665"/>
    <cfRule type="duplicateValues" dxfId="4394" priority="2666"/>
  </conditionalFormatting>
  <conditionalFormatting sqref="D56">
    <cfRule type="duplicateValues" dxfId="4393" priority="5169"/>
    <cfRule type="duplicateValues" dxfId="4392" priority="5170"/>
  </conditionalFormatting>
  <conditionalFormatting sqref="D57">
    <cfRule type="duplicateValues" dxfId="4391" priority="2691"/>
    <cfRule type="duplicateValues" dxfId="4390" priority="2692"/>
    <cfRule type="duplicateValues" dxfId="4389" priority="2693"/>
    <cfRule type="duplicateValues" dxfId="4388" priority="2694"/>
  </conditionalFormatting>
  <conditionalFormatting sqref="D58">
    <cfRule type="duplicateValues" dxfId="4387" priority="5189"/>
    <cfRule type="duplicateValues" dxfId="4386" priority="5190"/>
    <cfRule type="duplicateValues" dxfId="4385" priority="5191"/>
    <cfRule type="duplicateValues" dxfId="4384" priority="5192"/>
    <cfRule type="duplicateValues" dxfId="4383" priority="5193"/>
    <cfRule type="duplicateValues" dxfId="4382" priority="5194"/>
    <cfRule type="duplicateValues" dxfId="4381" priority="5195"/>
    <cfRule type="duplicateValues" dxfId="4380" priority="5196"/>
    <cfRule type="duplicateValues" dxfId="4379" priority="5197"/>
    <cfRule type="duplicateValues" dxfId="4378" priority="5198"/>
    <cfRule type="duplicateValues" dxfId="4377" priority="5199"/>
    <cfRule type="duplicateValues" dxfId="4376" priority="5200"/>
    <cfRule type="duplicateValues" dxfId="4375" priority="5201"/>
  </conditionalFormatting>
  <conditionalFormatting sqref="D59">
    <cfRule type="duplicateValues" dxfId="4374" priority="5761"/>
    <cfRule type="duplicateValues" dxfId="4373" priority="5762"/>
    <cfRule type="duplicateValues" dxfId="4372" priority="5763"/>
    <cfRule type="duplicateValues" dxfId="4371" priority="5764"/>
    <cfRule type="duplicateValues" dxfId="4370" priority="5765"/>
    <cfRule type="duplicateValues" dxfId="4369" priority="5766"/>
    <cfRule type="duplicateValues" dxfId="4368" priority="5767"/>
    <cfRule type="duplicateValues" dxfId="4367" priority="5768"/>
    <cfRule type="duplicateValues" dxfId="4366" priority="5769"/>
    <cfRule type="duplicateValues" dxfId="4365" priority="5770"/>
    <cfRule type="duplicateValues" dxfId="4364" priority="5771"/>
    <cfRule type="duplicateValues" dxfId="4363" priority="5772"/>
  </conditionalFormatting>
  <conditionalFormatting sqref="D60">
    <cfRule type="duplicateValues" dxfId="4362" priority="5493"/>
    <cfRule type="duplicateValues" dxfId="4361" priority="5494"/>
    <cfRule type="duplicateValues" dxfId="4360" priority="5495"/>
    <cfRule type="duplicateValues" dxfId="4359" priority="5496"/>
    <cfRule type="duplicateValues" dxfId="4358" priority="5497"/>
    <cfRule type="duplicateValues" dxfId="4357" priority="5498"/>
    <cfRule type="duplicateValues" dxfId="4356" priority="5499"/>
  </conditionalFormatting>
  <conditionalFormatting sqref="D61">
    <cfRule type="duplicateValues" dxfId="4355" priority="1511"/>
    <cfRule type="duplicateValues" dxfId="4354" priority="1512"/>
    <cfRule type="duplicateValues" dxfId="4353" priority="1513"/>
    <cfRule type="duplicateValues" dxfId="4352" priority="1514"/>
    <cfRule type="duplicateValues" dxfId="4351" priority="1515"/>
    <cfRule type="duplicateValues" dxfId="4350" priority="1516"/>
    <cfRule type="duplicateValues" dxfId="4349" priority="1517"/>
    <cfRule type="duplicateValues" dxfId="4348" priority="1518"/>
    <cfRule type="duplicateValues" dxfId="4347" priority="1519"/>
    <cfRule type="duplicateValues" dxfId="4346" priority="1520"/>
    <cfRule type="duplicateValues" dxfId="4345" priority="1521"/>
    <cfRule type="duplicateValues" dxfId="4344" priority="1522"/>
    <cfRule type="duplicateValues" dxfId="4343" priority="1523"/>
    <cfRule type="duplicateValues" dxfId="4342" priority="1524"/>
    <cfRule type="duplicateValues" dxfId="4341" priority="1525"/>
    <cfRule type="duplicateValues" dxfId="4340" priority="1526"/>
    <cfRule type="duplicateValues" dxfId="4339" priority="1527"/>
    <cfRule type="duplicateValues" dxfId="4338" priority="1528"/>
    <cfRule type="duplicateValues" dxfId="4337" priority="1529"/>
    <cfRule type="duplicateValues" dxfId="4336" priority="1530"/>
    <cfRule type="duplicateValues" dxfId="4335" priority="1531"/>
    <cfRule type="duplicateValues" dxfId="4334" priority="1532"/>
    <cfRule type="duplicateValues" dxfId="4333" priority="1533"/>
    <cfRule type="duplicateValues" dxfId="4332" priority="1534"/>
    <cfRule type="duplicateValues" dxfId="4331" priority="1535"/>
    <cfRule type="duplicateValues" dxfId="4330" priority="1536"/>
    <cfRule type="duplicateValues" dxfId="4329" priority="1537"/>
    <cfRule type="duplicateValues" dxfId="4328" priority="1538"/>
    <cfRule type="duplicateValues" dxfId="4327" priority="1539"/>
    <cfRule type="duplicateValues" dxfId="4326" priority="1540"/>
    <cfRule type="duplicateValues" dxfId="4325" priority="1541"/>
    <cfRule type="duplicateValues" dxfId="4324" priority="1542"/>
    <cfRule type="duplicateValues" dxfId="4323" priority="1543"/>
    <cfRule type="duplicateValues" dxfId="4322" priority="1544"/>
    <cfRule type="duplicateValues" dxfId="4321" priority="1545"/>
    <cfRule type="duplicateValues" dxfId="4320" priority="1546"/>
    <cfRule type="duplicateValues" dxfId="4319" priority="1547"/>
    <cfRule type="duplicateValues" dxfId="4318" priority="1548"/>
  </conditionalFormatting>
  <conditionalFormatting sqref="D62">
    <cfRule type="duplicateValues" dxfId="4317" priority="479"/>
    <cfRule type="duplicateValues" dxfId="4316" priority="480"/>
    <cfRule type="duplicateValues" dxfId="4315" priority="481"/>
    <cfRule type="duplicateValues" dxfId="4314" priority="482"/>
    <cfRule type="duplicateValues" dxfId="4313" priority="483"/>
    <cfRule type="duplicateValues" dxfId="4312" priority="484"/>
    <cfRule type="duplicateValues" dxfId="4311" priority="485"/>
    <cfRule type="duplicateValues" dxfId="4310" priority="486"/>
    <cfRule type="duplicateValues" dxfId="4309" priority="487"/>
    <cfRule type="duplicateValues" dxfId="4308" priority="488"/>
  </conditionalFormatting>
  <conditionalFormatting sqref="D63">
    <cfRule type="duplicateValues" dxfId="4307" priority="489"/>
    <cfRule type="duplicateValues" dxfId="4306" priority="490"/>
    <cfRule type="duplicateValues" dxfId="4305" priority="491"/>
    <cfRule type="duplicateValues" dxfId="4304" priority="492"/>
    <cfRule type="duplicateValues" dxfId="4303" priority="493"/>
    <cfRule type="duplicateValues" dxfId="4302" priority="494"/>
    <cfRule type="duplicateValues" dxfId="4301" priority="495"/>
    <cfRule type="duplicateValues" dxfId="4300" priority="496"/>
    <cfRule type="duplicateValues" dxfId="4299" priority="497"/>
    <cfRule type="duplicateValues" dxfId="4298" priority="498"/>
    <cfRule type="duplicateValues" dxfId="4297" priority="499"/>
    <cfRule type="duplicateValues" dxfId="4296" priority="500"/>
    <cfRule type="duplicateValues" dxfId="4295" priority="501"/>
  </conditionalFormatting>
  <conditionalFormatting sqref="D64">
    <cfRule type="duplicateValues" dxfId="4294" priority="5365"/>
    <cfRule type="duplicateValues" dxfId="4293" priority="5366"/>
    <cfRule type="duplicateValues" dxfId="4292" priority="5367"/>
    <cfRule type="duplicateValues" dxfId="4291" priority="5368"/>
    <cfRule type="duplicateValues" dxfId="4290" priority="5369"/>
    <cfRule type="duplicateValues" dxfId="4289" priority="5370"/>
    <cfRule type="duplicateValues" dxfId="4288" priority="5371"/>
    <cfRule type="duplicateValues" dxfId="4287" priority="5372"/>
    <cfRule type="duplicateValues" dxfId="4286" priority="5373"/>
    <cfRule type="duplicateValues" dxfId="4285" priority="5374"/>
    <cfRule type="duplicateValues" dxfId="4284" priority="5375"/>
    <cfRule type="duplicateValues" dxfId="4283" priority="5376"/>
    <cfRule type="duplicateValues" dxfId="4282" priority="5377"/>
  </conditionalFormatting>
  <conditionalFormatting sqref="D65">
    <cfRule type="duplicateValues" dxfId="4281" priority="886"/>
    <cfRule type="duplicateValues" dxfId="4280" priority="887"/>
    <cfRule type="duplicateValues" dxfId="4279" priority="888"/>
    <cfRule type="duplicateValues" dxfId="4278" priority="889"/>
  </conditionalFormatting>
  <conditionalFormatting sqref="D66">
    <cfRule type="duplicateValues" dxfId="4277" priority="4755"/>
    <cfRule type="duplicateValues" dxfId="4276" priority="4756"/>
    <cfRule type="duplicateValues" dxfId="4275" priority="4757"/>
    <cfRule type="duplicateValues" dxfId="4274" priority="4758"/>
    <cfRule type="duplicateValues" dxfId="4273" priority="4759"/>
    <cfRule type="duplicateValues" dxfId="4272" priority="4760"/>
    <cfRule type="duplicateValues" dxfId="4271" priority="4761"/>
    <cfRule type="duplicateValues" dxfId="4270" priority="4762"/>
    <cfRule type="duplicateValues" dxfId="4269" priority="4763"/>
    <cfRule type="duplicateValues" dxfId="4268" priority="4764"/>
    <cfRule type="duplicateValues" dxfId="4267" priority="4765"/>
    <cfRule type="duplicateValues" dxfId="4266" priority="4766"/>
    <cfRule type="duplicateValues" dxfId="4265" priority="4767"/>
    <cfRule type="duplicateValues" dxfId="4264" priority="4768"/>
    <cfRule type="duplicateValues" dxfId="4263" priority="4769"/>
    <cfRule type="duplicateValues" dxfId="4262" priority="4770"/>
    <cfRule type="duplicateValues" dxfId="4261" priority="4771"/>
    <cfRule type="duplicateValues" dxfId="4260" priority="4772"/>
    <cfRule type="duplicateValues" dxfId="4259" priority="4773"/>
    <cfRule type="duplicateValues" dxfId="4258" priority="4774"/>
  </conditionalFormatting>
  <conditionalFormatting sqref="D67">
    <cfRule type="duplicateValues" dxfId="4257" priority="3056"/>
    <cfRule type="duplicateValues" dxfId="4256" priority="3057"/>
    <cfRule type="duplicateValues" dxfId="4255" priority="3058"/>
    <cfRule type="duplicateValues" dxfId="4254" priority="3059"/>
    <cfRule type="duplicateValues" dxfId="4253" priority="3060"/>
    <cfRule type="duplicateValues" dxfId="4252" priority="3061"/>
    <cfRule type="duplicateValues" dxfId="4251" priority="3062"/>
    <cfRule type="duplicateValues" dxfId="4250" priority="3063"/>
    <cfRule type="duplicateValues" dxfId="4249" priority="3064"/>
    <cfRule type="duplicateValues" dxfId="4248" priority="3065"/>
    <cfRule type="duplicateValues" dxfId="4247" priority="3066"/>
    <cfRule type="duplicateValues" dxfId="4246" priority="3067"/>
    <cfRule type="duplicateValues" dxfId="4245" priority="3068"/>
    <cfRule type="duplicateValues" dxfId="4244" priority="3069"/>
    <cfRule type="duplicateValues" dxfId="4243" priority="3070"/>
    <cfRule type="duplicateValues" dxfId="4242" priority="3071"/>
    <cfRule type="duplicateValues" dxfId="4241" priority="3072"/>
    <cfRule type="duplicateValues" dxfId="4240" priority="3073"/>
    <cfRule type="duplicateValues" dxfId="4239" priority="3074"/>
    <cfRule type="duplicateValues" dxfId="4238" priority="3075"/>
    <cfRule type="duplicateValues" dxfId="4237" priority="3076"/>
    <cfRule type="duplicateValues" dxfId="4236" priority="3077"/>
    <cfRule type="duplicateValues" dxfId="4235" priority="3078"/>
    <cfRule type="duplicateValues" dxfId="4234" priority="3079"/>
    <cfRule type="duplicateValues" dxfId="4233" priority="3080"/>
    <cfRule type="duplicateValues" dxfId="4232" priority="3081"/>
    <cfRule type="duplicateValues" dxfId="4231" priority="3082"/>
    <cfRule type="duplicateValues" dxfId="4230" priority="3083"/>
    <cfRule type="duplicateValues" dxfId="4229" priority="3084"/>
    <cfRule type="duplicateValues" dxfId="4228" priority="3085"/>
  </conditionalFormatting>
  <conditionalFormatting sqref="D68">
    <cfRule type="duplicateValues" dxfId="4227" priority="237"/>
    <cfRule type="duplicateValues" dxfId="4226" priority="238"/>
    <cfRule type="duplicateValues" dxfId="4225" priority="239"/>
    <cfRule type="duplicateValues" dxfId="4224" priority="240"/>
  </conditionalFormatting>
  <conditionalFormatting sqref="D69">
    <cfRule type="duplicateValues" dxfId="4223" priority="5792"/>
    <cfRule type="duplicateValues" dxfId="4222" priority="5793"/>
    <cfRule type="duplicateValues" dxfId="4221" priority="5794"/>
    <cfRule type="duplicateValues" dxfId="4220" priority="5795"/>
    <cfRule type="duplicateValues" dxfId="4219" priority="5796"/>
    <cfRule type="duplicateValues" dxfId="4218" priority="5797"/>
    <cfRule type="duplicateValues" dxfId="4217" priority="5798"/>
    <cfRule type="duplicateValues" dxfId="4216" priority="5799"/>
  </conditionalFormatting>
  <conditionalFormatting sqref="D70">
    <cfRule type="duplicateValues" dxfId="4215" priority="5262"/>
    <cfRule type="duplicateValues" dxfId="4214" priority="5263"/>
    <cfRule type="duplicateValues" dxfId="4213" priority="5264"/>
    <cfRule type="duplicateValues" dxfId="4212" priority="5265"/>
    <cfRule type="duplicateValues" dxfId="4211" priority="5266"/>
    <cfRule type="duplicateValues" dxfId="4210" priority="5267"/>
    <cfRule type="duplicateValues" dxfId="4209" priority="5268"/>
    <cfRule type="duplicateValues" dxfId="4208" priority="5269"/>
    <cfRule type="duplicateValues" dxfId="4207" priority="5270"/>
    <cfRule type="duplicateValues" dxfId="4206" priority="5271"/>
    <cfRule type="duplicateValues" dxfId="4205" priority="5272"/>
    <cfRule type="duplicateValues" dxfId="4204" priority="5273"/>
    <cfRule type="duplicateValues" dxfId="4203" priority="5274"/>
    <cfRule type="duplicateValues" dxfId="4202" priority="5275"/>
    <cfRule type="duplicateValues" dxfId="4201" priority="5276"/>
    <cfRule type="duplicateValues" dxfId="4200" priority="5277"/>
    <cfRule type="duplicateValues" dxfId="4199" priority="5278"/>
    <cfRule type="duplicateValues" dxfId="4198" priority="5279"/>
    <cfRule type="duplicateValues" dxfId="4197" priority="5280"/>
    <cfRule type="duplicateValues" dxfId="4196" priority="5281"/>
    <cfRule type="duplicateValues" dxfId="4195" priority="5282"/>
    <cfRule type="duplicateValues" dxfId="4194" priority="5283"/>
    <cfRule type="duplicateValues" dxfId="4193" priority="5284"/>
    <cfRule type="duplicateValues" dxfId="4192" priority="5285"/>
    <cfRule type="duplicateValues" dxfId="4191" priority="5286"/>
    <cfRule type="duplicateValues" dxfId="4190" priority="5287"/>
    <cfRule type="duplicateValues" dxfId="4189" priority="5288"/>
    <cfRule type="duplicateValues" dxfId="4188" priority="5289"/>
    <cfRule type="duplicateValues" dxfId="4187" priority="5290"/>
    <cfRule type="duplicateValues" dxfId="4186" priority="5291"/>
    <cfRule type="duplicateValues" dxfId="4185" priority="5292"/>
    <cfRule type="duplicateValues" dxfId="4184" priority="5293"/>
    <cfRule type="duplicateValues" dxfId="4183" priority="5294"/>
    <cfRule type="duplicateValues" dxfId="4182" priority="5295"/>
    <cfRule type="duplicateValues" dxfId="4181" priority="5296"/>
    <cfRule type="duplicateValues" dxfId="4180" priority="5297"/>
    <cfRule type="duplicateValues" dxfId="4179" priority="5298"/>
    <cfRule type="duplicateValues" dxfId="4178" priority="5299"/>
    <cfRule type="duplicateValues" dxfId="4177" priority="5300"/>
    <cfRule type="duplicateValues" dxfId="4176" priority="5301"/>
    <cfRule type="duplicateValues" dxfId="4175" priority="5302"/>
    <cfRule type="duplicateValues" dxfId="4174" priority="5303"/>
    <cfRule type="duplicateValues" dxfId="4173" priority="5304"/>
    <cfRule type="duplicateValues" dxfId="4172" priority="5305"/>
    <cfRule type="duplicateValues" dxfId="4171" priority="5306"/>
    <cfRule type="duplicateValues" dxfId="4170" priority="5307"/>
    <cfRule type="duplicateValues" dxfId="4169" priority="5308"/>
    <cfRule type="duplicateValues" dxfId="4168" priority="5309"/>
    <cfRule type="duplicateValues" dxfId="4167" priority="5310"/>
    <cfRule type="duplicateValues" dxfId="4166" priority="5311"/>
    <cfRule type="duplicateValues" dxfId="4165" priority="5312"/>
    <cfRule type="duplicateValues" dxfId="4164" priority="5313"/>
    <cfRule type="duplicateValues" dxfId="4163" priority="5314"/>
    <cfRule type="duplicateValues" dxfId="4162" priority="5315"/>
    <cfRule type="duplicateValues" dxfId="4161" priority="5316"/>
    <cfRule type="duplicateValues" dxfId="4160" priority="5317"/>
  </conditionalFormatting>
  <conditionalFormatting sqref="D71">
    <cfRule type="duplicateValues" dxfId="4159" priority="5395"/>
    <cfRule type="duplicateValues" dxfId="4158" priority="5396"/>
    <cfRule type="duplicateValues" dxfId="4157" priority="5397"/>
  </conditionalFormatting>
  <conditionalFormatting sqref="D72">
    <cfRule type="duplicateValues" dxfId="4156" priority="2156"/>
    <cfRule type="duplicateValues" dxfId="4155" priority="2157"/>
    <cfRule type="duplicateValues" dxfId="4154" priority="2158"/>
    <cfRule type="duplicateValues" dxfId="4153" priority="2159"/>
    <cfRule type="duplicateValues" dxfId="4152" priority="2160"/>
    <cfRule type="duplicateValues" dxfId="4151" priority="2161"/>
    <cfRule type="duplicateValues" dxfId="4150" priority="2162"/>
    <cfRule type="duplicateValues" dxfId="4149" priority="2163"/>
    <cfRule type="duplicateValues" dxfId="4148" priority="2164"/>
  </conditionalFormatting>
  <conditionalFormatting sqref="D73">
    <cfRule type="duplicateValues" dxfId="4147" priority="693"/>
    <cfRule type="duplicateValues" dxfId="4146" priority="694"/>
    <cfRule type="duplicateValues" dxfId="4145" priority="695"/>
    <cfRule type="duplicateValues" dxfId="4144" priority="696"/>
    <cfRule type="duplicateValues" dxfId="4143" priority="697"/>
    <cfRule type="duplicateValues" dxfId="4142" priority="698"/>
    <cfRule type="duplicateValues" dxfId="4141" priority="699"/>
    <cfRule type="duplicateValues" dxfId="4140" priority="700"/>
    <cfRule type="duplicateValues" dxfId="4139" priority="701"/>
    <cfRule type="duplicateValues" dxfId="4138" priority="702"/>
    <cfRule type="duplicateValues" dxfId="4137" priority="703"/>
    <cfRule type="duplicateValues" dxfId="4136" priority="704"/>
    <cfRule type="duplicateValues" dxfId="4135" priority="705"/>
    <cfRule type="duplicateValues" dxfId="4134" priority="706"/>
    <cfRule type="duplicateValues" dxfId="4133" priority="707"/>
  </conditionalFormatting>
  <conditionalFormatting sqref="D74">
    <cfRule type="duplicateValues" dxfId="4132" priority="664"/>
    <cfRule type="duplicateValues" dxfId="4131" priority="665"/>
    <cfRule type="duplicateValues" dxfId="4130" priority="666"/>
    <cfRule type="duplicateValues" dxfId="4129" priority="667"/>
    <cfRule type="duplicateValues" dxfId="4128" priority="668"/>
    <cfRule type="duplicateValues" dxfId="4127" priority="669"/>
    <cfRule type="duplicateValues" dxfId="4126" priority="670"/>
    <cfRule type="duplicateValues" dxfId="4125" priority="671"/>
    <cfRule type="duplicateValues" dxfId="4124" priority="672"/>
    <cfRule type="duplicateValues" dxfId="4123" priority="673"/>
    <cfRule type="duplicateValues" dxfId="4122" priority="674"/>
    <cfRule type="duplicateValues" dxfId="4121" priority="675"/>
    <cfRule type="duplicateValues" dxfId="4120" priority="676"/>
    <cfRule type="duplicateValues" dxfId="4119" priority="677"/>
    <cfRule type="duplicateValues" dxfId="4118" priority="678"/>
    <cfRule type="duplicateValues" dxfId="4117" priority="679"/>
    <cfRule type="duplicateValues" dxfId="4116" priority="680"/>
    <cfRule type="duplicateValues" dxfId="4115" priority="681"/>
    <cfRule type="duplicateValues" dxfId="4114" priority="682"/>
    <cfRule type="duplicateValues" dxfId="4113" priority="683"/>
    <cfRule type="duplicateValues" dxfId="4112" priority="684"/>
    <cfRule type="duplicateValues" dxfId="4111" priority="685"/>
    <cfRule type="duplicateValues" dxfId="4110" priority="686"/>
    <cfRule type="duplicateValues" dxfId="4109" priority="687"/>
    <cfRule type="duplicateValues" dxfId="4108" priority="688"/>
    <cfRule type="duplicateValues" dxfId="4107" priority="689"/>
    <cfRule type="duplicateValues" dxfId="4106" priority="690"/>
    <cfRule type="duplicateValues" dxfId="4105" priority="691"/>
    <cfRule type="duplicateValues" dxfId="4104" priority="692"/>
  </conditionalFormatting>
  <conditionalFormatting sqref="D75:D76 A54:D54 A19:D20 A59:D59 A50:B50 A24:D24 A69:D69 A16:C18 A58:B58 A25:C28 A48:C49 A47:B47 A75:A76 A42:C42 A41:B41 A30:C37 A29:B29 A43:B43 A60:C68 A55:C57 A21:C23 A46:D46 A44:C45 A11:D11 A13:D15 A12:C12 A2:C10 A39:C40 A38 A51:C53 A70:C74">
    <cfRule type="duplicateValues" dxfId="4103" priority="16646"/>
  </conditionalFormatting>
  <conditionalFormatting sqref="D75:D76 D54 D69 D59 D23:D24 D11 D13:D15 D46:D47 D19:D20">
    <cfRule type="duplicateValues" dxfId="4102" priority="16626"/>
  </conditionalFormatting>
  <conditionalFormatting sqref="D75:D76">
    <cfRule type="duplicateValues" dxfId="4101" priority="16636"/>
    <cfRule type="duplicateValues" dxfId="4100" priority="16637"/>
    <cfRule type="duplicateValues" dxfId="4099" priority="16638"/>
    <cfRule type="duplicateValues" dxfId="4098" priority="16639"/>
    <cfRule type="duplicateValues" dxfId="4097" priority="16640"/>
    <cfRule type="duplicateValues" dxfId="4096" priority="16641"/>
    <cfRule type="duplicateValues" dxfId="4095" priority="16642"/>
    <cfRule type="duplicateValues" dxfId="4094" priority="16643"/>
    <cfRule type="duplicateValues" dxfId="4093" priority="16644"/>
    <cfRule type="duplicateValues" dxfId="4092" priority="16645"/>
  </conditionalFormatting>
  <conditionalFormatting sqref="D77:D78 D1 C78:D78 C79:C91 D95:D1048576">
    <cfRule type="duplicateValues" dxfId="4091" priority="15519"/>
  </conditionalFormatting>
  <conditionalFormatting sqref="D77:D79 D1 D81:D1048576">
    <cfRule type="duplicateValues" dxfId="4090" priority="13426"/>
  </conditionalFormatting>
  <conditionalFormatting sqref="D79">
    <cfRule type="duplicateValues" dxfId="4089" priority="14717"/>
  </conditionalFormatting>
  <conditionalFormatting sqref="D80">
    <cfRule type="duplicateValues" dxfId="4088" priority="11345"/>
    <cfRule type="duplicateValues" dxfId="4087" priority="11346"/>
    <cfRule type="duplicateValues" dxfId="4086" priority="11347"/>
    <cfRule type="duplicateValues" dxfId="4085" priority="11348"/>
    <cfRule type="duplicateValues" dxfId="4084" priority="11349"/>
  </conditionalFormatting>
  <conditionalFormatting sqref="D81">
    <cfRule type="duplicateValues" dxfId="4083" priority="11338"/>
    <cfRule type="duplicateValues" dxfId="4082" priority="11339"/>
    <cfRule type="duplicateValues" dxfId="4081" priority="11340"/>
    <cfRule type="duplicateValues" dxfId="4080" priority="11341"/>
    <cfRule type="duplicateValues" dxfId="4079" priority="11342"/>
    <cfRule type="duplicateValues" dxfId="4078" priority="12797"/>
    <cfRule type="duplicateValues" dxfId="4077" priority="12798"/>
    <cfRule type="duplicateValues" dxfId="4076" priority="12799"/>
    <cfRule type="duplicateValues" dxfId="4075" priority="12800"/>
    <cfRule type="duplicateValues" dxfId="4074" priority="12801"/>
    <cfRule type="duplicateValues" dxfId="4073" priority="12829"/>
    <cfRule type="duplicateValues" dxfId="4072" priority="12830"/>
    <cfRule type="duplicateValues" dxfId="4071" priority="12831"/>
    <cfRule type="duplicateValues" dxfId="4070" priority="13000"/>
    <cfRule type="duplicateValues" dxfId="4069" priority="13001"/>
    <cfRule type="duplicateValues" dxfId="4068" priority="13002"/>
    <cfRule type="duplicateValues" dxfId="4067" priority="13003"/>
    <cfRule type="duplicateValues" dxfId="4066" priority="13004"/>
    <cfRule type="duplicateValues" dxfId="4065" priority="13005"/>
    <cfRule type="duplicateValues" dxfId="4064" priority="13006"/>
    <cfRule type="duplicateValues" dxfId="4063" priority="13007"/>
    <cfRule type="duplicateValues" dxfId="4062" priority="13008"/>
    <cfRule type="duplicateValues" dxfId="4061" priority="13009"/>
    <cfRule type="duplicateValues" dxfId="4060" priority="13010"/>
    <cfRule type="duplicateValues" dxfId="4059" priority="13011"/>
    <cfRule type="duplicateValues" dxfId="4058" priority="13012"/>
    <cfRule type="duplicateValues" dxfId="4057" priority="13013"/>
    <cfRule type="duplicateValues" dxfId="4056" priority="13014"/>
    <cfRule type="duplicateValues" dxfId="4055" priority="13015"/>
    <cfRule type="duplicateValues" dxfId="4054" priority="13016"/>
    <cfRule type="duplicateValues" dxfId="4053" priority="13017"/>
    <cfRule type="duplicateValues" dxfId="4052" priority="13018"/>
  </conditionalFormatting>
  <conditionalFormatting sqref="D82:D94">
    <cfRule type="duplicateValues" dxfId="4051" priority="11311"/>
    <cfRule type="duplicateValues" dxfId="4050" priority="11312"/>
    <cfRule type="duplicateValues" dxfId="4049" priority="11313"/>
    <cfRule type="duplicateValues" dxfId="4048" priority="11335"/>
    <cfRule type="duplicateValues" dxfId="4047" priority="11336"/>
    <cfRule type="duplicateValues" dxfId="4046" priority="11337"/>
    <cfRule type="duplicateValues" dxfId="4045" priority="11583"/>
  </conditionalFormatting>
  <conditionalFormatting sqref="F2">
    <cfRule type="duplicateValues" dxfId="4044" priority="10571"/>
    <cfRule type="duplicateValues" dxfId="4043" priority="10572"/>
  </conditionalFormatting>
  <conditionalFormatting sqref="F3">
    <cfRule type="duplicateValues" dxfId="4042" priority="8848"/>
    <cfRule type="duplicateValues" dxfId="4041" priority="8849"/>
    <cfRule type="duplicateValues" dxfId="4040" priority="8850"/>
    <cfRule type="duplicateValues" dxfId="4039" priority="8851"/>
    <cfRule type="duplicateValues" dxfId="4038" priority="8852"/>
    <cfRule type="duplicateValues" dxfId="4037" priority="8853"/>
    <cfRule type="duplicateValues" dxfId="4036" priority="8854"/>
    <cfRule type="duplicateValues" dxfId="4035" priority="8855"/>
  </conditionalFormatting>
  <conditionalFormatting sqref="F4">
    <cfRule type="duplicateValues" dxfId="4034" priority="8846"/>
    <cfRule type="duplicateValues" dxfId="4033" priority="8847"/>
  </conditionalFormatting>
  <conditionalFormatting sqref="F4:F6">
    <cfRule type="duplicateValues" dxfId="4032" priority="14082"/>
    <cfRule type="duplicateValues" dxfId="4031" priority="14083"/>
    <cfRule type="duplicateValues" dxfId="4030" priority="14084"/>
    <cfRule type="duplicateValues" dxfId="4029" priority="14085"/>
    <cfRule type="duplicateValues" dxfId="4028" priority="14086"/>
    <cfRule type="duplicateValues" dxfId="4027" priority="14087"/>
    <cfRule type="duplicateValues" dxfId="4026" priority="14088"/>
    <cfRule type="duplicateValues" dxfId="4025" priority="14089"/>
    <cfRule type="duplicateValues" dxfId="4024" priority="14090"/>
    <cfRule type="duplicateValues" dxfId="4023" priority="14091"/>
  </conditionalFormatting>
  <conditionalFormatting sqref="F5">
    <cfRule type="duplicateValues" dxfId="4022" priority="14557"/>
    <cfRule type="duplicateValues" dxfId="4021" priority="14558"/>
    <cfRule type="duplicateValues" dxfId="4020" priority="14671"/>
    <cfRule type="duplicateValues" dxfId="4019" priority="14672"/>
    <cfRule type="duplicateValues" dxfId="4018" priority="14673"/>
    <cfRule type="duplicateValues" dxfId="4017" priority="14674"/>
    <cfRule type="duplicateValues" dxfId="4016" priority="14675"/>
    <cfRule type="duplicateValues" dxfId="4015" priority="14676"/>
  </conditionalFormatting>
  <conditionalFormatting sqref="F5:F6">
    <cfRule type="duplicateValues" dxfId="4014" priority="13852"/>
    <cfRule type="duplicateValues" dxfId="4013" priority="13853"/>
    <cfRule type="duplicateValues" dxfId="4012" priority="13854"/>
    <cfRule type="duplicateValues" dxfId="4011" priority="13855"/>
    <cfRule type="duplicateValues" dxfId="4010" priority="13856"/>
    <cfRule type="duplicateValues" dxfId="4009" priority="13857"/>
  </conditionalFormatting>
  <conditionalFormatting sqref="F6">
    <cfRule type="duplicateValues" dxfId="4008" priority="8843"/>
    <cfRule type="duplicateValues" dxfId="4007" priority="8844"/>
    <cfRule type="duplicateValues" dxfId="4006" priority="8845"/>
    <cfRule type="duplicateValues" dxfId="4005" priority="12965"/>
    <cfRule type="duplicateValues" dxfId="4004" priority="12966"/>
    <cfRule type="duplicateValues" dxfId="4003" priority="13138"/>
    <cfRule type="duplicateValues" dxfId="4002" priority="13139"/>
    <cfRule type="duplicateValues" dxfId="4001" priority="13140"/>
    <cfRule type="duplicateValues" dxfId="4000" priority="13141"/>
    <cfRule type="duplicateValues" dxfId="3999" priority="13403"/>
    <cfRule type="duplicateValues" dxfId="3998" priority="13404"/>
    <cfRule type="duplicateValues" dxfId="3997" priority="13405"/>
    <cfRule type="duplicateValues" dxfId="3996" priority="13406"/>
    <cfRule type="duplicateValues" dxfId="3995" priority="14135"/>
    <cfRule type="duplicateValues" dxfId="3994" priority="14136"/>
  </conditionalFormatting>
  <conditionalFormatting sqref="F7">
    <cfRule type="duplicateValues" dxfId="3993" priority="4921"/>
    <cfRule type="duplicateValues" dxfId="3992" priority="4922"/>
    <cfRule type="duplicateValues" dxfId="3991" priority="4923"/>
    <cfRule type="duplicateValues" dxfId="3990" priority="4924"/>
    <cfRule type="duplicateValues" dxfId="3989" priority="4925"/>
    <cfRule type="duplicateValues" dxfId="3988" priority="4926"/>
    <cfRule type="duplicateValues" dxfId="3987" priority="4927"/>
  </conditionalFormatting>
  <conditionalFormatting sqref="F8">
    <cfRule type="duplicateValues" dxfId="3986" priority="61"/>
    <cfRule type="duplicateValues" dxfId="3985" priority="62"/>
    <cfRule type="duplicateValues" dxfId="3984" priority="63"/>
    <cfRule type="duplicateValues" dxfId="3983" priority="64"/>
  </conditionalFormatting>
  <conditionalFormatting sqref="F9">
    <cfRule type="duplicateValues" dxfId="3982" priority="1354"/>
    <cfRule type="duplicateValues" dxfId="3981" priority="1355"/>
    <cfRule type="duplicateValues" dxfId="3980" priority="1356"/>
    <cfRule type="duplicateValues" dxfId="3979" priority="1357"/>
  </conditionalFormatting>
  <conditionalFormatting sqref="F10">
    <cfRule type="duplicateValues" dxfId="3978" priority="56"/>
    <cfRule type="duplicateValues" dxfId="3977" priority="57"/>
    <cfRule type="duplicateValues" dxfId="3976" priority="58"/>
    <cfRule type="duplicateValues" dxfId="3975" priority="59"/>
    <cfRule type="duplicateValues" dxfId="3974" priority="60"/>
  </conditionalFormatting>
  <conditionalFormatting sqref="F11">
    <cfRule type="duplicateValues" dxfId="3973" priority="315"/>
    <cfRule type="duplicateValues" dxfId="3972" priority="316"/>
    <cfRule type="duplicateValues" dxfId="3971" priority="317"/>
    <cfRule type="duplicateValues" dxfId="3970" priority="318"/>
    <cfRule type="duplicateValues" dxfId="3969" priority="319"/>
    <cfRule type="duplicateValues" dxfId="3968" priority="320"/>
    <cfRule type="duplicateValues" dxfId="3967" priority="321"/>
    <cfRule type="duplicateValues" dxfId="3966" priority="322"/>
    <cfRule type="duplicateValues" dxfId="3965" priority="323"/>
    <cfRule type="duplicateValues" dxfId="3964" priority="324"/>
    <cfRule type="duplicateValues" dxfId="3963" priority="325"/>
    <cfRule type="duplicateValues" dxfId="3962" priority="326"/>
    <cfRule type="duplicateValues" dxfId="3961" priority="327"/>
    <cfRule type="duplicateValues" dxfId="3960" priority="328"/>
  </conditionalFormatting>
  <conditionalFormatting sqref="F12">
    <cfRule type="duplicateValues" dxfId="3959" priority="1"/>
    <cfRule type="duplicateValues" dxfId="3958" priority="2"/>
    <cfRule type="duplicateValues" dxfId="3957" priority="3"/>
    <cfRule type="duplicateValues" dxfId="3956" priority="4"/>
    <cfRule type="duplicateValues" dxfId="3955" priority="5"/>
    <cfRule type="duplicateValues" dxfId="3954" priority="6"/>
    <cfRule type="duplicateValues" dxfId="3953" priority="7"/>
    <cfRule type="duplicateValues" dxfId="3952" priority="8"/>
    <cfRule type="duplicateValues" dxfId="3951" priority="9"/>
    <cfRule type="duplicateValues" dxfId="3950" priority="10"/>
    <cfRule type="duplicateValues" dxfId="3949" priority="11"/>
    <cfRule type="duplicateValues" dxfId="3948" priority="12"/>
    <cfRule type="duplicateValues" dxfId="3947" priority="13"/>
    <cfRule type="duplicateValues" dxfId="3946" priority="14"/>
    <cfRule type="duplicateValues" dxfId="3945" priority="15"/>
    <cfRule type="duplicateValues" dxfId="3944" priority="16"/>
    <cfRule type="duplicateValues" dxfId="3943" priority="17"/>
    <cfRule type="duplicateValues" dxfId="3942" priority="18"/>
    <cfRule type="duplicateValues" dxfId="3941" priority="19"/>
    <cfRule type="duplicateValues" dxfId="3940" priority="20"/>
    <cfRule type="duplicateValues" dxfId="3939" priority="21"/>
    <cfRule type="duplicateValues" dxfId="3938" priority="22"/>
    <cfRule type="duplicateValues" dxfId="3937" priority="23"/>
    <cfRule type="duplicateValues" dxfId="3936" priority="24"/>
    <cfRule type="duplicateValues" dxfId="3935" priority="25"/>
    <cfRule type="duplicateValues" dxfId="3934" priority="26"/>
    <cfRule type="duplicateValues" dxfId="3933" priority="27"/>
    <cfRule type="duplicateValues" dxfId="3932" priority="28"/>
    <cfRule type="duplicateValues" dxfId="3931" priority="29"/>
    <cfRule type="duplicateValues" dxfId="3930" priority="30"/>
    <cfRule type="duplicateValues" dxfId="3929" priority="31"/>
    <cfRule type="duplicateValues" dxfId="3928" priority="32"/>
    <cfRule type="duplicateValues" dxfId="3927" priority="33"/>
    <cfRule type="duplicateValues" dxfId="3926" priority="34"/>
    <cfRule type="duplicateValues" dxfId="3925" priority="35"/>
    <cfRule type="duplicateValues" dxfId="3924" priority="36"/>
    <cfRule type="duplicateValues" dxfId="3923" priority="37"/>
    <cfRule type="duplicateValues" dxfId="3922" priority="38"/>
    <cfRule type="duplicateValues" dxfId="3921" priority="39"/>
    <cfRule type="duplicateValues" dxfId="3920" priority="40"/>
    <cfRule type="duplicateValues" dxfId="3919" priority="41"/>
    <cfRule type="duplicateValues" dxfId="3918" priority="42"/>
    <cfRule type="duplicateValues" dxfId="3917" priority="43"/>
    <cfRule type="duplicateValues" dxfId="3916" priority="44"/>
    <cfRule type="duplicateValues" dxfId="3915" priority="45"/>
    <cfRule type="duplicateValues" dxfId="3914" priority="46"/>
    <cfRule type="duplicateValues" dxfId="3913" priority="47"/>
    <cfRule type="duplicateValues" dxfId="3912" priority="48"/>
    <cfRule type="duplicateValues" dxfId="3911" priority="49"/>
    <cfRule type="duplicateValues" dxfId="3910" priority="50"/>
    <cfRule type="duplicateValues" dxfId="3909" priority="51"/>
    <cfRule type="duplicateValues" dxfId="3908" priority="52"/>
    <cfRule type="duplicateValues" dxfId="3907" priority="53"/>
    <cfRule type="duplicateValues" dxfId="3906" priority="54"/>
    <cfRule type="duplicateValues" dxfId="3905" priority="55"/>
  </conditionalFormatting>
  <conditionalFormatting sqref="F13">
    <cfRule type="duplicateValues" dxfId="3904" priority="8768"/>
    <cfRule type="duplicateValues" dxfId="3903" priority="8769"/>
    <cfRule type="duplicateValues" dxfId="3902" priority="8770"/>
    <cfRule type="duplicateValues" dxfId="3901" priority="8771"/>
    <cfRule type="duplicateValues" dxfId="3900" priority="8772"/>
    <cfRule type="duplicateValues" dxfId="3899" priority="9602"/>
    <cfRule type="duplicateValues" dxfId="3898" priority="9603"/>
    <cfRule type="duplicateValues" dxfId="3897" priority="9604"/>
    <cfRule type="duplicateValues" dxfId="3896" priority="9605"/>
    <cfRule type="duplicateValues" dxfId="3895" priority="9606"/>
    <cfRule type="duplicateValues" dxfId="3894" priority="9625"/>
    <cfRule type="duplicateValues" dxfId="3893" priority="9626"/>
    <cfRule type="duplicateValues" dxfId="3892" priority="9627"/>
    <cfRule type="duplicateValues" dxfId="3891" priority="9628"/>
  </conditionalFormatting>
  <conditionalFormatting sqref="F14">
    <cfRule type="duplicateValues" dxfId="3890" priority="8767"/>
    <cfRule type="duplicateValues" dxfId="3889" priority="9554"/>
    <cfRule type="duplicateValues" dxfId="3888" priority="9555"/>
    <cfRule type="duplicateValues" dxfId="3887" priority="9556"/>
    <cfRule type="duplicateValues" dxfId="3886" priority="9557"/>
    <cfRule type="duplicateValues" dxfId="3885" priority="9558"/>
    <cfRule type="duplicateValues" dxfId="3884" priority="9559"/>
    <cfRule type="duplicateValues" dxfId="3883" priority="9560"/>
    <cfRule type="duplicateValues" dxfId="3882" priority="9561"/>
    <cfRule type="duplicateValues" dxfId="3881" priority="9562"/>
    <cfRule type="duplicateValues" dxfId="3880" priority="9563"/>
    <cfRule type="duplicateValues" dxfId="3879" priority="9564"/>
    <cfRule type="duplicateValues" dxfId="3878" priority="9565"/>
    <cfRule type="duplicateValues" dxfId="3877" priority="9566"/>
    <cfRule type="duplicateValues" dxfId="3876" priority="9567"/>
    <cfRule type="duplicateValues" dxfId="3875" priority="9568"/>
    <cfRule type="duplicateValues" dxfId="3874" priority="9569"/>
    <cfRule type="duplicateValues" dxfId="3873" priority="9570"/>
    <cfRule type="duplicateValues" dxfId="3872" priority="9571"/>
    <cfRule type="duplicateValues" dxfId="3871" priority="9572"/>
    <cfRule type="duplicateValues" dxfId="3870" priority="9573"/>
    <cfRule type="duplicateValues" dxfId="3869" priority="9574"/>
    <cfRule type="duplicateValues" dxfId="3868" priority="9575"/>
    <cfRule type="duplicateValues" dxfId="3867" priority="9576"/>
    <cfRule type="duplicateValues" dxfId="3866" priority="9577"/>
    <cfRule type="duplicateValues" dxfId="3865" priority="9578"/>
    <cfRule type="duplicateValues" dxfId="3864" priority="9579"/>
    <cfRule type="duplicateValues" dxfId="3863" priority="9580"/>
    <cfRule type="duplicateValues" dxfId="3862" priority="9581"/>
    <cfRule type="duplicateValues" dxfId="3861" priority="9582"/>
    <cfRule type="duplicateValues" dxfId="3860" priority="9583"/>
    <cfRule type="duplicateValues" dxfId="3859" priority="9584"/>
    <cfRule type="duplicateValues" dxfId="3858" priority="9585"/>
    <cfRule type="duplicateValues" dxfId="3857" priority="9586"/>
    <cfRule type="duplicateValues" dxfId="3856" priority="9587"/>
    <cfRule type="duplicateValues" dxfId="3855" priority="9588"/>
    <cfRule type="duplicateValues" dxfId="3854" priority="9589"/>
    <cfRule type="duplicateValues" dxfId="3853" priority="9590"/>
    <cfRule type="duplicateValues" dxfId="3852" priority="9591"/>
    <cfRule type="duplicateValues" dxfId="3851" priority="9592"/>
    <cfRule type="duplicateValues" dxfId="3850" priority="9593"/>
    <cfRule type="duplicateValues" dxfId="3849" priority="9594"/>
    <cfRule type="duplicateValues" dxfId="3848" priority="9595"/>
    <cfRule type="duplicateValues" dxfId="3847" priority="9596"/>
    <cfRule type="duplicateValues" dxfId="3846" priority="9597"/>
    <cfRule type="duplicateValues" dxfId="3845" priority="9598"/>
    <cfRule type="duplicateValues" dxfId="3844" priority="9599"/>
    <cfRule type="duplicateValues" dxfId="3843" priority="9600"/>
    <cfRule type="duplicateValues" dxfId="3842" priority="9601"/>
    <cfRule type="duplicateValues" dxfId="3841" priority="9619"/>
    <cfRule type="duplicateValues" dxfId="3840" priority="9620"/>
    <cfRule type="duplicateValues" dxfId="3839" priority="9621"/>
    <cfRule type="duplicateValues" dxfId="3838" priority="9622"/>
    <cfRule type="duplicateValues" dxfId="3837" priority="9623"/>
    <cfRule type="duplicateValues" dxfId="3836" priority="9624"/>
  </conditionalFormatting>
  <conditionalFormatting sqref="F15">
    <cfRule type="duplicateValues" dxfId="3835" priority="8750"/>
    <cfRule type="duplicateValues" dxfId="3834" priority="8751"/>
    <cfRule type="duplicateValues" dxfId="3833" priority="8752"/>
    <cfRule type="duplicateValues" dxfId="3832" priority="8753"/>
    <cfRule type="duplicateValues" dxfId="3831" priority="8754"/>
    <cfRule type="duplicateValues" dxfId="3830" priority="8755"/>
    <cfRule type="duplicateValues" dxfId="3829" priority="8756"/>
    <cfRule type="duplicateValues" dxfId="3828" priority="8757"/>
    <cfRule type="duplicateValues" dxfId="3827" priority="8758"/>
    <cfRule type="duplicateValues" dxfId="3826" priority="8759"/>
    <cfRule type="duplicateValues" dxfId="3825" priority="8760"/>
    <cfRule type="duplicateValues" dxfId="3824" priority="8761"/>
    <cfRule type="duplicateValues" dxfId="3823" priority="8762"/>
    <cfRule type="duplicateValues" dxfId="3822" priority="8763"/>
    <cfRule type="duplicateValues" dxfId="3821" priority="8764"/>
    <cfRule type="duplicateValues" dxfId="3820" priority="8765"/>
    <cfRule type="duplicateValues" dxfId="3819" priority="8766"/>
    <cfRule type="duplicateValues" dxfId="3818" priority="9377"/>
    <cfRule type="duplicateValues" dxfId="3817" priority="9378"/>
    <cfRule type="duplicateValues" dxfId="3816" priority="9379"/>
    <cfRule type="duplicateValues" dxfId="3815" priority="9380"/>
    <cfRule type="duplicateValues" dxfId="3814" priority="9381"/>
  </conditionalFormatting>
  <conditionalFormatting sqref="F16">
    <cfRule type="duplicateValues" dxfId="3813" priority="8710"/>
    <cfRule type="duplicateValues" dxfId="3812" priority="8711"/>
    <cfRule type="duplicateValues" dxfId="3811" priority="8712"/>
    <cfRule type="duplicateValues" dxfId="3810" priority="8713"/>
    <cfRule type="duplicateValues" dxfId="3809" priority="8714"/>
    <cfRule type="duplicateValues" dxfId="3808" priority="8715"/>
    <cfRule type="duplicateValues" dxfId="3807" priority="8716"/>
    <cfRule type="duplicateValues" dxfId="3806" priority="8717"/>
    <cfRule type="duplicateValues" dxfId="3805" priority="8718"/>
    <cfRule type="duplicateValues" dxfId="3804" priority="8719"/>
    <cfRule type="duplicateValues" dxfId="3803" priority="8720"/>
    <cfRule type="duplicateValues" dxfId="3802" priority="8721"/>
    <cfRule type="duplicateValues" dxfId="3801" priority="8722"/>
    <cfRule type="duplicateValues" dxfId="3800" priority="8723"/>
    <cfRule type="duplicateValues" dxfId="3799" priority="8724"/>
    <cfRule type="duplicateValues" dxfId="3798" priority="8725"/>
    <cfRule type="duplicateValues" dxfId="3797" priority="8726"/>
    <cfRule type="duplicateValues" dxfId="3796" priority="8727"/>
    <cfRule type="duplicateValues" dxfId="3795" priority="8728"/>
    <cfRule type="duplicateValues" dxfId="3794" priority="8729"/>
    <cfRule type="duplicateValues" dxfId="3793" priority="8730"/>
    <cfRule type="duplicateValues" dxfId="3792" priority="8731"/>
    <cfRule type="duplicateValues" dxfId="3791" priority="8732"/>
    <cfRule type="duplicateValues" dxfId="3790" priority="8733"/>
    <cfRule type="duplicateValues" dxfId="3789" priority="8734"/>
    <cfRule type="duplicateValues" dxfId="3788" priority="8735"/>
    <cfRule type="duplicateValues" dxfId="3787" priority="8736"/>
    <cfRule type="duplicateValues" dxfId="3786" priority="8737"/>
    <cfRule type="duplicateValues" dxfId="3785" priority="8738"/>
    <cfRule type="duplicateValues" dxfId="3784" priority="8739"/>
    <cfRule type="duplicateValues" dxfId="3783" priority="8740"/>
    <cfRule type="duplicateValues" dxfId="3782" priority="8741"/>
    <cfRule type="duplicateValues" dxfId="3781" priority="8742"/>
    <cfRule type="duplicateValues" dxfId="3780" priority="8743"/>
    <cfRule type="duplicateValues" dxfId="3779" priority="8744"/>
    <cfRule type="duplicateValues" dxfId="3778" priority="8745"/>
    <cfRule type="duplicateValues" dxfId="3777" priority="8746"/>
    <cfRule type="duplicateValues" dxfId="3776" priority="8747"/>
    <cfRule type="duplicateValues" dxfId="3775" priority="8748"/>
    <cfRule type="duplicateValues" dxfId="3774" priority="8749"/>
    <cfRule type="duplicateValues" dxfId="3773" priority="9363"/>
  </conditionalFormatting>
  <conditionalFormatting sqref="F17">
    <cfRule type="duplicateValues" dxfId="3772" priority="3835"/>
    <cfRule type="duplicateValues" dxfId="3771" priority="3836"/>
    <cfRule type="duplicateValues" dxfId="3770" priority="3837"/>
    <cfRule type="duplicateValues" dxfId="3769" priority="3838"/>
  </conditionalFormatting>
  <conditionalFormatting sqref="F18">
    <cfRule type="duplicateValues" dxfId="3768" priority="3693"/>
    <cfRule type="duplicateValues" dxfId="3767" priority="3694"/>
    <cfRule type="duplicateValues" dxfId="3766" priority="3695"/>
    <cfRule type="duplicateValues" dxfId="3765" priority="3696"/>
    <cfRule type="duplicateValues" dxfId="3764" priority="3697"/>
    <cfRule type="duplicateValues" dxfId="3763" priority="3698"/>
    <cfRule type="duplicateValues" dxfId="3762" priority="3699"/>
    <cfRule type="duplicateValues" dxfId="3761" priority="3700"/>
    <cfRule type="duplicateValues" dxfId="3760" priority="3701"/>
    <cfRule type="duplicateValues" dxfId="3759" priority="3702"/>
    <cfRule type="duplicateValues" dxfId="3758" priority="3703"/>
    <cfRule type="duplicateValues" dxfId="3757" priority="3704"/>
    <cfRule type="duplicateValues" dxfId="3756" priority="3705"/>
    <cfRule type="duplicateValues" dxfId="3755" priority="3706"/>
    <cfRule type="duplicateValues" dxfId="3754" priority="3707"/>
    <cfRule type="duplicateValues" dxfId="3753" priority="3708"/>
    <cfRule type="duplicateValues" dxfId="3752" priority="3709"/>
    <cfRule type="duplicateValues" dxfId="3751" priority="3710"/>
    <cfRule type="duplicateValues" dxfId="3750" priority="3711"/>
    <cfRule type="duplicateValues" dxfId="3749" priority="3712"/>
    <cfRule type="duplicateValues" dxfId="3748" priority="3713"/>
    <cfRule type="duplicateValues" dxfId="3747" priority="3714"/>
    <cfRule type="duplicateValues" dxfId="3746" priority="3715"/>
    <cfRule type="duplicateValues" dxfId="3745" priority="3716"/>
    <cfRule type="duplicateValues" dxfId="3744" priority="3717"/>
    <cfRule type="duplicateValues" dxfId="3743" priority="3718"/>
    <cfRule type="duplicateValues" dxfId="3742" priority="3719"/>
    <cfRule type="duplicateValues" dxfId="3741" priority="3720"/>
    <cfRule type="duplicateValues" dxfId="3740" priority="3721"/>
    <cfRule type="duplicateValues" dxfId="3739" priority="3722"/>
    <cfRule type="duplicateValues" dxfId="3738" priority="3723"/>
    <cfRule type="duplicateValues" dxfId="3737" priority="3724"/>
    <cfRule type="duplicateValues" dxfId="3736" priority="3725"/>
    <cfRule type="duplicateValues" dxfId="3735" priority="3726"/>
    <cfRule type="duplicateValues" dxfId="3734" priority="3727"/>
    <cfRule type="duplicateValues" dxfId="3733" priority="3728"/>
    <cfRule type="duplicateValues" dxfId="3732" priority="3729"/>
    <cfRule type="duplicateValues" dxfId="3731" priority="3730"/>
    <cfRule type="duplicateValues" dxfId="3730" priority="3731"/>
    <cfRule type="duplicateValues" dxfId="3729" priority="3732"/>
    <cfRule type="duplicateValues" dxfId="3728" priority="3733"/>
  </conditionalFormatting>
  <conditionalFormatting sqref="F20">
    <cfRule type="duplicateValues" dxfId="3727" priority="301"/>
    <cfRule type="duplicateValues" dxfId="3726" priority="302"/>
    <cfRule type="duplicateValues" dxfId="3725" priority="303"/>
    <cfRule type="duplicateValues" dxfId="3724" priority="304"/>
    <cfRule type="duplicateValues" dxfId="3723" priority="305"/>
    <cfRule type="duplicateValues" dxfId="3722" priority="306"/>
    <cfRule type="duplicateValues" dxfId="3721" priority="307"/>
    <cfRule type="duplicateValues" dxfId="3720" priority="308"/>
    <cfRule type="duplicateValues" dxfId="3719" priority="309"/>
    <cfRule type="duplicateValues" dxfId="3718" priority="310"/>
    <cfRule type="duplicateValues" dxfId="3717" priority="311"/>
    <cfRule type="duplicateValues" dxfId="3716" priority="312"/>
    <cfRule type="duplicateValues" dxfId="3715" priority="313"/>
    <cfRule type="duplicateValues" dxfId="3714" priority="314"/>
  </conditionalFormatting>
  <conditionalFormatting sqref="F21">
    <cfRule type="duplicateValues" dxfId="3713" priority="241"/>
    <cfRule type="duplicateValues" dxfId="3712" priority="242"/>
    <cfRule type="duplicateValues" dxfId="3711" priority="243"/>
    <cfRule type="duplicateValues" dxfId="3710" priority="244"/>
    <cfRule type="duplicateValues" dxfId="3709" priority="245"/>
    <cfRule type="duplicateValues" dxfId="3708" priority="246"/>
    <cfRule type="duplicateValues" dxfId="3707" priority="247"/>
    <cfRule type="duplicateValues" dxfId="3706" priority="248"/>
    <cfRule type="duplicateValues" dxfId="3705" priority="249"/>
    <cfRule type="duplicateValues" dxfId="3704" priority="250"/>
    <cfRule type="duplicateValues" dxfId="3703" priority="251"/>
    <cfRule type="duplicateValues" dxfId="3702" priority="252"/>
    <cfRule type="duplicateValues" dxfId="3701" priority="253"/>
    <cfRule type="duplicateValues" dxfId="3700" priority="254"/>
    <cfRule type="duplicateValues" dxfId="3699" priority="255"/>
    <cfRule type="duplicateValues" dxfId="3698" priority="256"/>
    <cfRule type="duplicateValues" dxfId="3697" priority="257"/>
    <cfRule type="duplicateValues" dxfId="3696" priority="258"/>
    <cfRule type="duplicateValues" dxfId="3695" priority="259"/>
    <cfRule type="duplicateValues" dxfId="3694" priority="260"/>
    <cfRule type="duplicateValues" dxfId="3693" priority="261"/>
    <cfRule type="duplicateValues" dxfId="3692" priority="262"/>
    <cfRule type="duplicateValues" dxfId="3691" priority="263"/>
    <cfRule type="duplicateValues" dxfId="3690" priority="264"/>
    <cfRule type="duplicateValues" dxfId="3689" priority="265"/>
    <cfRule type="duplicateValues" dxfId="3688" priority="266"/>
    <cfRule type="duplicateValues" dxfId="3687" priority="267"/>
    <cfRule type="duplicateValues" dxfId="3686" priority="268"/>
    <cfRule type="duplicateValues" dxfId="3685" priority="269"/>
    <cfRule type="duplicateValues" dxfId="3684" priority="270"/>
  </conditionalFormatting>
  <conditionalFormatting sqref="F22">
    <cfRule type="duplicateValues" dxfId="3683" priority="144"/>
    <cfRule type="duplicateValues" dxfId="3682" priority="145"/>
    <cfRule type="duplicateValues" dxfId="3681" priority="146"/>
    <cfRule type="duplicateValues" dxfId="3680" priority="147"/>
  </conditionalFormatting>
  <conditionalFormatting sqref="F23:F25">
    <cfRule type="duplicateValues" dxfId="3679" priority="2640"/>
    <cfRule type="duplicateValues" dxfId="3678" priority="2641"/>
    <cfRule type="duplicateValues" dxfId="3677" priority="2642"/>
    <cfRule type="duplicateValues" dxfId="3676" priority="2643"/>
    <cfRule type="duplicateValues" dxfId="3675" priority="2644"/>
    <cfRule type="duplicateValues" dxfId="3674" priority="2645"/>
    <cfRule type="duplicateValues" dxfId="3673" priority="2646"/>
    <cfRule type="duplicateValues" dxfId="3672" priority="2647"/>
    <cfRule type="duplicateValues" dxfId="3671" priority="2648"/>
    <cfRule type="duplicateValues" dxfId="3670" priority="2649"/>
    <cfRule type="duplicateValues" dxfId="3669" priority="2650"/>
    <cfRule type="duplicateValues" dxfId="3668" priority="2651"/>
    <cfRule type="duplicateValues" dxfId="3667" priority="2652"/>
    <cfRule type="duplicateValues" dxfId="3666" priority="2653"/>
    <cfRule type="duplicateValues" dxfId="3665" priority="2654"/>
    <cfRule type="duplicateValues" dxfId="3664" priority="2655"/>
    <cfRule type="duplicateValues" dxfId="3663" priority="2656"/>
    <cfRule type="duplicateValues" dxfId="3662" priority="2657"/>
    <cfRule type="duplicateValues" dxfId="3661" priority="2658"/>
    <cfRule type="duplicateValues" dxfId="3660" priority="2659"/>
  </conditionalFormatting>
  <conditionalFormatting sqref="F26:F27">
    <cfRule type="duplicateValues" dxfId="3659" priority="1077"/>
    <cfRule type="duplicateValues" dxfId="3658" priority="1078"/>
    <cfRule type="duplicateValues" dxfId="3657" priority="1079"/>
    <cfRule type="duplicateValues" dxfId="3656" priority="1080"/>
    <cfRule type="duplicateValues" dxfId="3655" priority="1081"/>
    <cfRule type="duplicateValues" dxfId="3654" priority="1082"/>
    <cfRule type="duplicateValues" dxfId="3653" priority="1083"/>
    <cfRule type="duplicateValues" dxfId="3652" priority="1084"/>
    <cfRule type="duplicateValues" dxfId="3651" priority="1085"/>
    <cfRule type="duplicateValues" dxfId="3650" priority="1086"/>
    <cfRule type="duplicateValues" dxfId="3649" priority="1087"/>
    <cfRule type="duplicateValues" dxfId="3648" priority="1088"/>
    <cfRule type="duplicateValues" dxfId="3647" priority="1089"/>
    <cfRule type="duplicateValues" dxfId="3646" priority="1090"/>
    <cfRule type="duplicateValues" dxfId="3645" priority="1091"/>
    <cfRule type="duplicateValues" dxfId="3644" priority="1092"/>
    <cfRule type="duplicateValues" dxfId="3643" priority="1093"/>
    <cfRule type="duplicateValues" dxfId="3642" priority="1094"/>
    <cfRule type="duplicateValues" dxfId="3641" priority="1095"/>
    <cfRule type="duplicateValues" dxfId="3640" priority="1096"/>
  </conditionalFormatting>
  <conditionalFormatting sqref="F28">
    <cfRule type="duplicateValues" dxfId="3639" priority="2189"/>
    <cfRule type="duplicateValues" dxfId="3638" priority="2190"/>
    <cfRule type="duplicateValues" dxfId="3637" priority="2191"/>
    <cfRule type="duplicateValues" dxfId="3636" priority="2192"/>
    <cfRule type="duplicateValues" dxfId="3635" priority="2193"/>
    <cfRule type="duplicateValues" dxfId="3634" priority="2194"/>
    <cfRule type="duplicateValues" dxfId="3633" priority="2195"/>
    <cfRule type="duplicateValues" dxfId="3632" priority="2196"/>
    <cfRule type="duplicateValues" dxfId="3631" priority="2197"/>
    <cfRule type="duplicateValues" dxfId="3630" priority="2198"/>
    <cfRule type="duplicateValues" dxfId="3629" priority="2199"/>
    <cfRule type="duplicateValues" dxfId="3628" priority="2200"/>
    <cfRule type="duplicateValues" dxfId="3627" priority="2201"/>
    <cfRule type="duplicateValues" dxfId="3626" priority="2202"/>
    <cfRule type="duplicateValues" dxfId="3625" priority="2203"/>
    <cfRule type="duplicateValues" dxfId="3624" priority="2204"/>
    <cfRule type="duplicateValues" dxfId="3623" priority="2205"/>
    <cfRule type="duplicateValues" dxfId="3622" priority="2206"/>
    <cfRule type="duplicateValues" dxfId="3621" priority="2207"/>
    <cfRule type="duplicateValues" dxfId="3620" priority="2208"/>
  </conditionalFormatting>
  <conditionalFormatting sqref="F29:F35">
    <cfRule type="duplicateValues" dxfId="3619" priority="2169"/>
    <cfRule type="duplicateValues" dxfId="3618" priority="2170"/>
    <cfRule type="duplicateValues" dxfId="3617" priority="2171"/>
    <cfRule type="duplicateValues" dxfId="3616" priority="2172"/>
    <cfRule type="duplicateValues" dxfId="3615" priority="2173"/>
    <cfRule type="duplicateValues" dxfId="3614" priority="2174"/>
    <cfRule type="duplicateValues" dxfId="3613" priority="2175"/>
    <cfRule type="duplicateValues" dxfId="3612" priority="2176"/>
    <cfRule type="duplicateValues" dxfId="3611" priority="2177"/>
    <cfRule type="duplicateValues" dxfId="3610" priority="2178"/>
    <cfRule type="duplicateValues" dxfId="3609" priority="2179"/>
    <cfRule type="duplicateValues" dxfId="3608" priority="2180"/>
    <cfRule type="duplicateValues" dxfId="3607" priority="2181"/>
    <cfRule type="duplicateValues" dxfId="3606" priority="2182"/>
    <cfRule type="duplicateValues" dxfId="3605" priority="2183"/>
    <cfRule type="duplicateValues" dxfId="3604" priority="2184"/>
    <cfRule type="duplicateValues" dxfId="3603" priority="2185"/>
    <cfRule type="duplicateValues" dxfId="3602" priority="2186"/>
    <cfRule type="duplicateValues" dxfId="3601" priority="2187"/>
    <cfRule type="duplicateValues" dxfId="3600" priority="2188"/>
  </conditionalFormatting>
  <conditionalFormatting sqref="F36">
    <cfRule type="duplicateValues" dxfId="3599" priority="2900"/>
    <cfRule type="duplicateValues" dxfId="3598" priority="2901"/>
    <cfRule type="duplicateValues" dxfId="3597" priority="2902"/>
    <cfRule type="duplicateValues" dxfId="3596" priority="2903"/>
    <cfRule type="duplicateValues" dxfId="3595" priority="2904"/>
    <cfRule type="duplicateValues" dxfId="3594" priority="2905"/>
    <cfRule type="duplicateValues" dxfId="3593" priority="2906"/>
    <cfRule type="duplicateValues" dxfId="3592" priority="2907"/>
    <cfRule type="duplicateValues" dxfId="3591" priority="2908"/>
    <cfRule type="duplicateValues" dxfId="3590" priority="2909"/>
    <cfRule type="duplicateValues" dxfId="3589" priority="2910"/>
    <cfRule type="duplicateValues" dxfId="3588" priority="2911"/>
    <cfRule type="duplicateValues" dxfId="3587" priority="2912"/>
  </conditionalFormatting>
  <conditionalFormatting sqref="F37:F38">
    <cfRule type="duplicateValues" dxfId="3586" priority="2822"/>
    <cfRule type="duplicateValues" dxfId="3585" priority="2823"/>
    <cfRule type="duplicateValues" dxfId="3584" priority="2824"/>
    <cfRule type="duplicateValues" dxfId="3583" priority="2825"/>
    <cfRule type="duplicateValues" dxfId="3582" priority="2826"/>
    <cfRule type="duplicateValues" dxfId="3581" priority="2827"/>
    <cfRule type="duplicateValues" dxfId="3580" priority="2828"/>
  </conditionalFormatting>
  <conditionalFormatting sqref="F39:F40">
    <cfRule type="duplicateValues" dxfId="3579" priority="8322"/>
    <cfRule type="duplicateValues" dxfId="3578" priority="8323"/>
    <cfRule type="duplicateValues" dxfId="3577" priority="8324"/>
    <cfRule type="duplicateValues" dxfId="3576" priority="8325"/>
    <cfRule type="duplicateValues" dxfId="3575" priority="8326"/>
    <cfRule type="duplicateValues" dxfId="3574" priority="8327"/>
    <cfRule type="duplicateValues" dxfId="3573" priority="8328"/>
    <cfRule type="duplicateValues" dxfId="3572" priority="8329"/>
    <cfRule type="duplicateValues" dxfId="3571" priority="8330"/>
    <cfRule type="duplicateValues" dxfId="3570" priority="8331"/>
    <cfRule type="duplicateValues" dxfId="3569" priority="8332"/>
    <cfRule type="duplicateValues" dxfId="3568" priority="8333"/>
    <cfRule type="duplicateValues" dxfId="3567" priority="8334"/>
    <cfRule type="duplicateValues" dxfId="3566" priority="8335"/>
    <cfRule type="duplicateValues" dxfId="3565" priority="8336"/>
    <cfRule type="duplicateValues" dxfId="3564" priority="8337"/>
    <cfRule type="duplicateValues" dxfId="3563" priority="8338"/>
    <cfRule type="duplicateValues" dxfId="3562" priority="8339"/>
    <cfRule type="duplicateValues" dxfId="3561" priority="8340"/>
    <cfRule type="duplicateValues" dxfId="3560" priority="8341"/>
  </conditionalFormatting>
  <conditionalFormatting sqref="F43">
    <cfRule type="duplicateValues" dxfId="3559" priority="2511"/>
    <cfRule type="duplicateValues" dxfId="3558" priority="2512"/>
    <cfRule type="duplicateValues" dxfId="3557" priority="2513"/>
    <cfRule type="duplicateValues" dxfId="3556" priority="2514"/>
    <cfRule type="duplicateValues" dxfId="3555" priority="2515"/>
    <cfRule type="duplicateValues" dxfId="3554" priority="2516"/>
    <cfRule type="duplicateValues" dxfId="3553" priority="2517"/>
  </conditionalFormatting>
  <conditionalFormatting sqref="F44:F45 F41:F42">
    <cfRule type="duplicateValues" dxfId="3552" priority="2695"/>
    <cfRule type="duplicateValues" dxfId="3551" priority="2696"/>
    <cfRule type="duplicateValues" dxfId="3550" priority="2697"/>
    <cfRule type="duplicateValues" dxfId="3549" priority="2698"/>
    <cfRule type="duplicateValues" dxfId="3548" priority="2699"/>
    <cfRule type="duplicateValues" dxfId="3547" priority="2700"/>
  </conditionalFormatting>
  <conditionalFormatting sqref="F46">
    <cfRule type="duplicateValues" dxfId="3546" priority="1201"/>
    <cfRule type="duplicateValues" dxfId="3545" priority="1202"/>
    <cfRule type="duplicateValues" dxfId="3544" priority="1203"/>
    <cfRule type="duplicateValues" dxfId="3543" priority="1204"/>
    <cfRule type="duplicateValues" dxfId="3542" priority="1205"/>
  </conditionalFormatting>
  <conditionalFormatting sqref="F47">
    <cfRule type="duplicateValues" dxfId="3541" priority="8255"/>
    <cfRule type="duplicateValues" dxfId="3540" priority="8256"/>
    <cfRule type="duplicateValues" dxfId="3539" priority="8257"/>
    <cfRule type="duplicateValues" dxfId="3538" priority="8258"/>
    <cfRule type="duplicateValues" dxfId="3537" priority="8259"/>
    <cfRule type="duplicateValues" dxfId="3536" priority="8260"/>
    <cfRule type="duplicateValues" dxfId="3535" priority="8261"/>
    <cfRule type="duplicateValues" dxfId="3534" priority="8262"/>
    <cfRule type="duplicateValues" dxfId="3533" priority="8263"/>
    <cfRule type="duplicateValues" dxfId="3532" priority="8264"/>
    <cfRule type="duplicateValues" dxfId="3531" priority="8265"/>
    <cfRule type="duplicateValues" dxfId="3530" priority="8266"/>
    <cfRule type="duplicateValues" dxfId="3529" priority="8267"/>
    <cfRule type="duplicateValues" dxfId="3528" priority="8268"/>
  </conditionalFormatting>
  <conditionalFormatting sqref="F48:F49">
    <cfRule type="duplicateValues" dxfId="3527" priority="8234"/>
    <cfRule type="duplicateValues" dxfId="3526" priority="8235"/>
    <cfRule type="duplicateValues" dxfId="3525" priority="8236"/>
    <cfRule type="duplicateValues" dxfId="3524" priority="8237"/>
    <cfRule type="duplicateValues" dxfId="3523" priority="8238"/>
    <cfRule type="duplicateValues" dxfId="3522" priority="8239"/>
    <cfRule type="duplicateValues" dxfId="3521" priority="8240"/>
    <cfRule type="duplicateValues" dxfId="3520" priority="8241"/>
    <cfRule type="duplicateValues" dxfId="3519" priority="8242"/>
    <cfRule type="duplicateValues" dxfId="3518" priority="8243"/>
    <cfRule type="duplicateValues" dxfId="3517" priority="8244"/>
    <cfRule type="duplicateValues" dxfId="3516" priority="8245"/>
    <cfRule type="duplicateValues" dxfId="3515" priority="8246"/>
    <cfRule type="duplicateValues" dxfId="3514" priority="8247"/>
    <cfRule type="duplicateValues" dxfId="3513" priority="8248"/>
    <cfRule type="duplicateValues" dxfId="3512" priority="8249"/>
    <cfRule type="duplicateValues" dxfId="3511" priority="8250"/>
    <cfRule type="duplicateValues" dxfId="3510" priority="8251"/>
    <cfRule type="duplicateValues" dxfId="3509" priority="8252"/>
    <cfRule type="duplicateValues" dxfId="3508" priority="8253"/>
    <cfRule type="duplicateValues" dxfId="3507" priority="8254"/>
  </conditionalFormatting>
  <conditionalFormatting sqref="F50">
    <cfRule type="duplicateValues" dxfId="3506" priority="148"/>
    <cfRule type="duplicateValues" dxfId="3505" priority="149"/>
    <cfRule type="duplicateValues" dxfId="3504" priority="150"/>
    <cfRule type="duplicateValues" dxfId="3503" priority="151"/>
    <cfRule type="duplicateValues" dxfId="3502" priority="152"/>
    <cfRule type="duplicateValues" dxfId="3501" priority="153"/>
    <cfRule type="duplicateValues" dxfId="3500" priority="154"/>
    <cfRule type="duplicateValues" dxfId="3499" priority="155"/>
    <cfRule type="duplicateValues" dxfId="3498" priority="156"/>
    <cfRule type="duplicateValues" dxfId="3497" priority="157"/>
    <cfRule type="duplicateValues" dxfId="3496" priority="158"/>
    <cfRule type="duplicateValues" dxfId="3495" priority="159"/>
    <cfRule type="duplicateValues" dxfId="3494" priority="160"/>
    <cfRule type="duplicateValues" dxfId="3493" priority="161"/>
    <cfRule type="duplicateValues" dxfId="3492" priority="162"/>
    <cfRule type="duplicateValues" dxfId="3491" priority="163"/>
    <cfRule type="duplicateValues" dxfId="3490" priority="164"/>
    <cfRule type="duplicateValues" dxfId="3489" priority="165"/>
    <cfRule type="duplicateValues" dxfId="3488" priority="166"/>
    <cfRule type="duplicateValues" dxfId="3487" priority="167"/>
    <cfRule type="duplicateValues" dxfId="3486" priority="168"/>
    <cfRule type="duplicateValues" dxfId="3485" priority="169"/>
    <cfRule type="duplicateValues" dxfId="3484" priority="170"/>
    <cfRule type="duplicateValues" dxfId="3483" priority="171"/>
    <cfRule type="duplicateValues" dxfId="3482" priority="172"/>
    <cfRule type="duplicateValues" dxfId="3481" priority="173"/>
    <cfRule type="duplicateValues" dxfId="3480" priority="174"/>
    <cfRule type="duplicateValues" dxfId="3479" priority="175"/>
    <cfRule type="duplicateValues" dxfId="3478" priority="176"/>
    <cfRule type="duplicateValues" dxfId="3477" priority="177"/>
  </conditionalFormatting>
  <conditionalFormatting sqref="F51">
    <cfRule type="duplicateValues" dxfId="3476" priority="202"/>
    <cfRule type="duplicateValues" dxfId="3475" priority="203"/>
    <cfRule type="duplicateValues" dxfId="3474" priority="204"/>
    <cfRule type="duplicateValues" dxfId="3473" priority="205"/>
    <cfRule type="duplicateValues" dxfId="3472" priority="206"/>
    <cfRule type="duplicateValues" dxfId="3471" priority="207"/>
    <cfRule type="duplicateValues" dxfId="3470" priority="208"/>
    <cfRule type="duplicateValues" dxfId="3469" priority="209"/>
    <cfRule type="duplicateValues" dxfId="3468" priority="210"/>
    <cfRule type="duplicateValues" dxfId="3467" priority="211"/>
    <cfRule type="duplicateValues" dxfId="3466" priority="212"/>
    <cfRule type="duplicateValues" dxfId="3465" priority="213"/>
    <cfRule type="duplicateValues" dxfId="3464" priority="214"/>
    <cfRule type="duplicateValues" dxfId="3463" priority="215"/>
    <cfRule type="duplicateValues" dxfId="3462" priority="216"/>
    <cfRule type="duplicateValues" dxfId="3461" priority="217"/>
    <cfRule type="duplicateValues" dxfId="3460" priority="218"/>
    <cfRule type="duplicateValues" dxfId="3459" priority="219"/>
    <cfRule type="duplicateValues" dxfId="3458" priority="220"/>
    <cfRule type="duplicateValues" dxfId="3457" priority="221"/>
    <cfRule type="duplicateValues" dxfId="3456" priority="222"/>
    <cfRule type="duplicateValues" dxfId="3455" priority="223"/>
    <cfRule type="duplicateValues" dxfId="3454" priority="224"/>
    <cfRule type="duplicateValues" dxfId="3453" priority="225"/>
    <cfRule type="duplicateValues" dxfId="3452" priority="226"/>
    <cfRule type="duplicateValues" dxfId="3451" priority="227"/>
    <cfRule type="duplicateValues" dxfId="3450" priority="228"/>
    <cfRule type="duplicateValues" dxfId="3449" priority="229"/>
    <cfRule type="duplicateValues" dxfId="3448" priority="230"/>
    <cfRule type="duplicateValues" dxfId="3447" priority="231"/>
  </conditionalFormatting>
  <conditionalFormatting sqref="F53:F54">
    <cfRule type="duplicateValues" dxfId="3446" priority="271"/>
    <cfRule type="duplicateValues" dxfId="3445" priority="272"/>
    <cfRule type="duplicateValues" dxfId="3444" priority="273"/>
    <cfRule type="duplicateValues" dxfId="3443" priority="274"/>
    <cfRule type="duplicateValues" dxfId="3442" priority="275"/>
    <cfRule type="duplicateValues" dxfId="3441" priority="276"/>
    <cfRule type="duplicateValues" dxfId="3440" priority="277"/>
    <cfRule type="duplicateValues" dxfId="3439" priority="278"/>
    <cfRule type="duplicateValues" dxfId="3438" priority="279"/>
    <cfRule type="duplicateValues" dxfId="3437" priority="280"/>
    <cfRule type="duplicateValues" dxfId="3436" priority="281"/>
    <cfRule type="duplicateValues" dxfId="3435" priority="282"/>
    <cfRule type="duplicateValues" dxfId="3434" priority="283"/>
    <cfRule type="duplicateValues" dxfId="3433" priority="284"/>
    <cfRule type="duplicateValues" dxfId="3432" priority="285"/>
    <cfRule type="duplicateValues" dxfId="3431" priority="286"/>
    <cfRule type="duplicateValues" dxfId="3430" priority="287"/>
    <cfRule type="duplicateValues" dxfId="3429" priority="288"/>
    <cfRule type="duplicateValues" dxfId="3428" priority="289"/>
    <cfRule type="duplicateValues" dxfId="3427" priority="290"/>
    <cfRule type="duplicateValues" dxfId="3426" priority="291"/>
    <cfRule type="duplicateValues" dxfId="3425" priority="292"/>
    <cfRule type="duplicateValues" dxfId="3424" priority="293"/>
    <cfRule type="duplicateValues" dxfId="3423" priority="294"/>
    <cfRule type="duplicateValues" dxfId="3422" priority="295"/>
    <cfRule type="duplicateValues" dxfId="3421" priority="296"/>
    <cfRule type="duplicateValues" dxfId="3420" priority="297"/>
    <cfRule type="duplicateValues" dxfId="3419" priority="298"/>
    <cfRule type="duplicateValues" dxfId="3418" priority="299"/>
    <cfRule type="duplicateValues" dxfId="3417" priority="300"/>
  </conditionalFormatting>
  <conditionalFormatting sqref="F57">
    <cfRule type="duplicateValues" dxfId="3416" priority="12697"/>
    <cfRule type="duplicateValues" dxfId="3415" priority="14323"/>
    <cfRule type="duplicateValues" dxfId="3414" priority="15523"/>
  </conditionalFormatting>
  <conditionalFormatting sqref="F58">
    <cfRule type="duplicateValues" dxfId="3413" priority="12303"/>
    <cfRule type="duplicateValues" dxfId="3412" priority="12308"/>
    <cfRule type="duplicateValues" dxfId="3411" priority="12309"/>
    <cfRule type="duplicateValues" dxfId="3410" priority="12319"/>
  </conditionalFormatting>
  <conditionalFormatting sqref="F59">
    <cfRule type="duplicateValues" dxfId="3409" priority="4955"/>
    <cfRule type="duplicateValues" dxfId="3408" priority="4956"/>
    <cfRule type="duplicateValues" dxfId="3407" priority="4957"/>
    <cfRule type="duplicateValues" dxfId="3406" priority="4958"/>
    <cfRule type="duplicateValues" dxfId="3405" priority="4959"/>
  </conditionalFormatting>
  <conditionalFormatting sqref="F60">
    <cfRule type="duplicateValues" dxfId="3404" priority="4932"/>
    <cfRule type="duplicateValues" dxfId="3403" priority="4933"/>
    <cfRule type="duplicateValues" dxfId="3402" priority="4934"/>
    <cfRule type="duplicateValues" dxfId="3401" priority="4935"/>
  </conditionalFormatting>
  <conditionalFormatting sqref="F61">
    <cfRule type="duplicateValues" dxfId="3400" priority="4337"/>
    <cfRule type="duplicateValues" dxfId="3399" priority="4338"/>
    <cfRule type="duplicateValues" dxfId="3398" priority="4339"/>
    <cfRule type="duplicateValues" dxfId="3397" priority="4340"/>
  </conditionalFormatting>
  <conditionalFormatting sqref="F62">
    <cfRule type="duplicateValues" dxfId="3396" priority="1319"/>
  </conditionalFormatting>
  <conditionalFormatting sqref="F63">
    <cfRule type="duplicateValues" dxfId="3395" priority="1283"/>
    <cfRule type="duplicateValues" dxfId="3394" priority="1284"/>
    <cfRule type="duplicateValues" dxfId="3393" priority="1285"/>
    <cfRule type="duplicateValues" dxfId="3392" priority="1286"/>
  </conditionalFormatting>
  <conditionalFormatting sqref="F64">
    <cfRule type="duplicateValues" dxfId="3391" priority="1221"/>
    <cfRule type="duplicateValues" dxfId="3390" priority="1222"/>
    <cfRule type="duplicateValues" dxfId="3389" priority="1223"/>
    <cfRule type="duplicateValues" dxfId="3388" priority="1224"/>
    <cfRule type="duplicateValues" dxfId="3387" priority="1225"/>
    <cfRule type="duplicateValues" dxfId="3386" priority="1226"/>
    <cfRule type="duplicateValues" dxfId="3385" priority="1227"/>
    <cfRule type="duplicateValues" dxfId="3384" priority="1228"/>
    <cfRule type="duplicateValues" dxfId="3383" priority="1229"/>
    <cfRule type="duplicateValues" dxfId="3382" priority="1230"/>
    <cfRule type="duplicateValues" dxfId="3381" priority="1231"/>
  </conditionalFormatting>
  <conditionalFormatting sqref="F65">
    <cfRule type="duplicateValues" dxfId="3380" priority="6108"/>
    <cfRule type="duplicateValues" dxfId="3379" priority="6109"/>
    <cfRule type="duplicateValues" dxfId="3378" priority="6110"/>
    <cfRule type="duplicateValues" dxfId="3377" priority="6111"/>
    <cfRule type="duplicateValues" dxfId="3376" priority="6112"/>
    <cfRule type="duplicateValues" dxfId="3375" priority="6113"/>
    <cfRule type="duplicateValues" dxfId="3374" priority="6114"/>
    <cfRule type="duplicateValues" dxfId="3373" priority="6115"/>
    <cfRule type="duplicateValues" dxfId="3372" priority="6116"/>
    <cfRule type="duplicateValues" dxfId="3371" priority="6117"/>
    <cfRule type="duplicateValues" dxfId="3370" priority="6118"/>
    <cfRule type="duplicateValues" dxfId="3369" priority="6119"/>
    <cfRule type="duplicateValues" dxfId="3368" priority="6120"/>
    <cfRule type="duplicateValues" dxfId="3367" priority="6121"/>
    <cfRule type="duplicateValues" dxfId="3366" priority="6122"/>
    <cfRule type="duplicateValues" dxfId="3365" priority="6123"/>
    <cfRule type="duplicateValues" dxfId="3364" priority="6124"/>
    <cfRule type="duplicateValues" dxfId="3363" priority="6125"/>
    <cfRule type="duplicateValues" dxfId="3362" priority="6126"/>
    <cfRule type="duplicateValues" dxfId="3361" priority="6127"/>
    <cfRule type="duplicateValues" dxfId="3360" priority="6128"/>
    <cfRule type="duplicateValues" dxfId="3359" priority="6129"/>
    <cfRule type="duplicateValues" dxfId="3358" priority="6130"/>
    <cfRule type="duplicateValues" dxfId="3357" priority="6131"/>
    <cfRule type="duplicateValues" dxfId="3356" priority="6132"/>
    <cfRule type="duplicateValues" dxfId="3355" priority="6133"/>
    <cfRule type="duplicateValues" dxfId="3354" priority="6134"/>
    <cfRule type="duplicateValues" dxfId="3353" priority="6135"/>
    <cfRule type="duplicateValues" dxfId="3352" priority="6136"/>
    <cfRule type="duplicateValues" dxfId="3351" priority="6137"/>
    <cfRule type="duplicateValues" dxfId="3350" priority="6138"/>
    <cfRule type="duplicateValues" dxfId="3349" priority="6139"/>
    <cfRule type="duplicateValues" dxfId="3348" priority="6140"/>
    <cfRule type="duplicateValues" dxfId="3347" priority="6141"/>
    <cfRule type="duplicateValues" dxfId="3346" priority="6142"/>
    <cfRule type="duplicateValues" dxfId="3345" priority="6143"/>
    <cfRule type="duplicateValues" dxfId="3344" priority="6144"/>
    <cfRule type="duplicateValues" dxfId="3343" priority="6145"/>
    <cfRule type="duplicateValues" dxfId="3342" priority="6146"/>
    <cfRule type="duplicateValues" dxfId="3341" priority="6147"/>
    <cfRule type="duplicateValues" dxfId="3340" priority="6148"/>
    <cfRule type="duplicateValues" dxfId="3339" priority="6149"/>
    <cfRule type="duplicateValues" dxfId="3338" priority="6150"/>
    <cfRule type="duplicateValues" dxfId="3337" priority="6151"/>
    <cfRule type="duplicateValues" dxfId="3336" priority="6152"/>
    <cfRule type="duplicateValues" dxfId="3335" priority="6153"/>
    <cfRule type="duplicateValues" dxfId="3334" priority="6154"/>
    <cfRule type="duplicateValues" dxfId="3333" priority="6155"/>
    <cfRule type="duplicateValues" dxfId="3332" priority="11939"/>
    <cfRule type="duplicateValues" dxfId="3331" priority="11940"/>
    <cfRule type="duplicateValues" dxfId="3330" priority="11941"/>
    <cfRule type="duplicateValues" dxfId="3329" priority="11942"/>
    <cfRule type="duplicateValues" dxfId="3328" priority="11943"/>
    <cfRule type="duplicateValues" dxfId="3327" priority="11944"/>
  </conditionalFormatting>
  <conditionalFormatting sqref="F67">
    <cfRule type="duplicateValues" dxfId="3326" priority="11904"/>
    <cfRule type="duplicateValues" dxfId="3325" priority="11905"/>
    <cfRule type="duplicateValues" dxfId="3324" priority="11906"/>
    <cfRule type="duplicateValues" dxfId="3323" priority="11907"/>
    <cfRule type="duplicateValues" dxfId="3322" priority="11908"/>
    <cfRule type="duplicateValues" dxfId="3321" priority="11909"/>
    <cfRule type="duplicateValues" dxfId="3320" priority="11910"/>
    <cfRule type="duplicateValues" dxfId="3319" priority="11911"/>
    <cfRule type="duplicateValues" dxfId="3318" priority="11912"/>
    <cfRule type="duplicateValues" dxfId="3317" priority="11913"/>
    <cfRule type="duplicateValues" dxfId="3316" priority="11914"/>
    <cfRule type="duplicateValues" dxfId="3315" priority="11915"/>
    <cfRule type="duplicateValues" dxfId="3314" priority="11916"/>
    <cfRule type="duplicateValues" dxfId="3313" priority="11917"/>
    <cfRule type="duplicateValues" dxfId="3312" priority="11918"/>
    <cfRule type="duplicateValues" dxfId="3311" priority="11919"/>
    <cfRule type="duplicateValues" dxfId="3310" priority="11920"/>
    <cfRule type="duplicateValues" dxfId="3309" priority="11921"/>
    <cfRule type="duplicateValues" dxfId="3308" priority="11922"/>
    <cfRule type="duplicateValues" dxfId="3307" priority="11923"/>
    <cfRule type="duplicateValues" dxfId="3306" priority="11924"/>
    <cfRule type="duplicateValues" dxfId="3305" priority="11925"/>
    <cfRule type="duplicateValues" dxfId="3304" priority="11926"/>
    <cfRule type="duplicateValues" dxfId="3303" priority="11927"/>
    <cfRule type="duplicateValues" dxfId="3302" priority="11928"/>
    <cfRule type="duplicateValues" dxfId="3301" priority="11929"/>
    <cfRule type="duplicateValues" dxfId="3300" priority="11930"/>
    <cfRule type="duplicateValues" dxfId="3299" priority="11931"/>
    <cfRule type="duplicateValues" dxfId="3298" priority="11932"/>
    <cfRule type="duplicateValues" dxfId="3297" priority="11933"/>
    <cfRule type="duplicateValues" dxfId="3296" priority="11934"/>
    <cfRule type="duplicateValues" dxfId="3295" priority="11935"/>
    <cfRule type="duplicateValues" dxfId="3294" priority="11936"/>
    <cfRule type="duplicateValues" dxfId="3293" priority="11937"/>
    <cfRule type="duplicateValues" dxfId="3292" priority="11938"/>
  </conditionalFormatting>
  <conditionalFormatting sqref="F67:F68">
    <cfRule type="duplicateValues" dxfId="3291" priority="11891"/>
    <cfRule type="duplicateValues" dxfId="3290" priority="11892"/>
    <cfRule type="duplicateValues" dxfId="3289" priority="11893"/>
    <cfRule type="duplicateValues" dxfId="3288" priority="11894"/>
    <cfRule type="duplicateValues" dxfId="3287" priority="11895"/>
    <cfRule type="duplicateValues" dxfId="3286" priority="11896"/>
    <cfRule type="duplicateValues" dxfId="3285" priority="11897"/>
    <cfRule type="duplicateValues" dxfId="3284" priority="11898"/>
    <cfRule type="duplicateValues" dxfId="3283" priority="11899"/>
    <cfRule type="duplicateValues" dxfId="3282" priority="11900"/>
    <cfRule type="duplicateValues" dxfId="3281" priority="11901"/>
    <cfRule type="duplicateValues" dxfId="3280" priority="11902"/>
    <cfRule type="duplicateValues" dxfId="3279" priority="11903"/>
  </conditionalFormatting>
  <conditionalFormatting sqref="F68:F69">
    <cfRule type="duplicateValues" dxfId="3278" priority="10653"/>
    <cfRule type="duplicateValues" dxfId="3277" priority="10654"/>
    <cfRule type="duplicateValues" dxfId="3276" priority="10655"/>
    <cfRule type="duplicateValues" dxfId="3275" priority="10656"/>
    <cfRule type="duplicateValues" dxfId="3274" priority="10657"/>
    <cfRule type="duplicateValues" dxfId="3273" priority="10658"/>
    <cfRule type="duplicateValues" dxfId="3272" priority="10659"/>
    <cfRule type="duplicateValues" dxfId="3271" priority="10660"/>
    <cfRule type="duplicateValues" dxfId="3270" priority="10661"/>
    <cfRule type="duplicateValues" dxfId="3269" priority="10662"/>
    <cfRule type="duplicateValues" dxfId="3268" priority="10663"/>
    <cfRule type="duplicateValues" dxfId="3267" priority="10664"/>
    <cfRule type="duplicateValues" dxfId="3266" priority="10665"/>
  </conditionalFormatting>
  <conditionalFormatting sqref="F69:F70">
    <cfRule type="duplicateValues" dxfId="3265" priority="15413"/>
  </conditionalFormatting>
  <conditionalFormatting sqref="F70:F71">
    <cfRule type="duplicateValues" dxfId="3264" priority="16621"/>
  </conditionalFormatting>
  <conditionalFormatting sqref="F75">
    <cfRule type="duplicateValues" dxfId="3263" priority="10287"/>
    <cfRule type="duplicateValues" dxfId="3262" priority="10288"/>
    <cfRule type="duplicateValues" dxfId="3261" priority="10289"/>
    <cfRule type="duplicateValues" dxfId="3260" priority="10290"/>
    <cfRule type="duplicateValues" dxfId="3259" priority="10291"/>
    <cfRule type="duplicateValues" dxfId="3258" priority="10292"/>
    <cfRule type="duplicateValues" dxfId="3257" priority="10293"/>
    <cfRule type="duplicateValues" dxfId="3256" priority="10294"/>
  </conditionalFormatting>
  <conditionalFormatting sqref="F76 F72:F74">
    <cfRule type="duplicateValues" dxfId="3255" priority="16685"/>
  </conditionalFormatting>
  <conditionalFormatting sqref="F84 F89">
    <cfRule type="duplicateValues" dxfId="3254" priority="11479"/>
  </conditionalFormatting>
  <conditionalFormatting sqref="F84">
    <cfRule type="duplicateValues" dxfId="3253" priority="11470"/>
    <cfRule type="duplicateValues" dxfId="3252" priority="11471"/>
    <cfRule type="duplicateValues" dxfId="3251" priority="11472"/>
    <cfRule type="duplicateValues" dxfId="3250" priority="11473"/>
    <cfRule type="duplicateValues" dxfId="3249" priority="11474"/>
    <cfRule type="duplicateValues" dxfId="3248" priority="11475"/>
    <cfRule type="duplicateValues" dxfId="3247" priority="11477"/>
    <cfRule type="duplicateValues" dxfId="3246" priority="11478"/>
  </conditionalFormatting>
  <conditionalFormatting sqref="F85">
    <cfRule type="duplicateValues" dxfId="3245" priority="11469"/>
  </conditionalFormatting>
  <conditionalFormatting sqref="F86">
    <cfRule type="duplicateValues" dxfId="3244" priority="11466"/>
    <cfRule type="duplicateValues" dxfId="3243" priority="11467"/>
    <cfRule type="duplicateValues" dxfId="3242" priority="11468"/>
  </conditionalFormatting>
  <conditionalFormatting sqref="F87">
    <cfRule type="duplicateValues" dxfId="3241" priority="11463"/>
    <cfRule type="duplicateValues" dxfId="3240" priority="11464"/>
    <cfRule type="duplicateValues" dxfId="3239" priority="11465"/>
  </conditionalFormatting>
  <conditionalFormatting sqref="F88">
    <cfRule type="duplicateValues" dxfId="3238" priority="11443"/>
    <cfRule type="duplicateValues" dxfId="3237" priority="11444"/>
    <cfRule type="duplicateValues" dxfId="3236" priority="11445"/>
    <cfRule type="duplicateValues" dxfId="3235" priority="11446"/>
    <cfRule type="duplicateValues" dxfId="3234" priority="11447"/>
    <cfRule type="duplicateValues" dxfId="3233" priority="11448"/>
    <cfRule type="duplicateValues" dxfId="3232" priority="11449"/>
    <cfRule type="duplicateValues" dxfId="3231" priority="11450"/>
    <cfRule type="duplicateValues" dxfId="3230" priority="11451"/>
    <cfRule type="duplicateValues" dxfId="3229" priority="11452"/>
    <cfRule type="duplicateValues" dxfId="3228" priority="11453"/>
    <cfRule type="duplicateValues" dxfId="3227" priority="11454"/>
    <cfRule type="duplicateValues" dxfId="3226" priority="11455"/>
    <cfRule type="duplicateValues" dxfId="3225" priority="11456"/>
    <cfRule type="duplicateValues" dxfId="3224" priority="11457"/>
    <cfRule type="duplicateValues" dxfId="3223" priority="11458"/>
    <cfRule type="duplicateValues" dxfId="3222" priority="11459"/>
    <cfRule type="duplicateValues" dxfId="3221" priority="11460"/>
    <cfRule type="duplicateValues" dxfId="3220" priority="11461"/>
    <cfRule type="duplicateValues" dxfId="3219" priority="11462"/>
  </conditionalFormatting>
  <conditionalFormatting sqref="F89 F84:F86">
    <cfRule type="duplicateValues" dxfId="3218" priority="11476"/>
  </conditionalFormatting>
  <conditionalFormatting sqref="G39">
    <cfRule type="duplicateValues" dxfId="3217" priority="2111"/>
    <cfRule type="duplicateValues" dxfId="3216" priority="2112"/>
  </conditionalFormatting>
  <conditionalFormatting sqref="G58">
    <cfRule type="duplicateValues" dxfId="3215" priority="15198"/>
    <cfRule type="duplicateValues" dxfId="3214" priority="15199"/>
  </conditionalFormatting>
  <conditionalFormatting sqref="G58:G65">
    <cfRule type="duplicateValues" dxfId="3213" priority="15109"/>
  </conditionalFormatting>
  <conditionalFormatting sqref="G60:G61">
    <cfRule type="duplicateValues" dxfId="3212" priority="14919"/>
  </conditionalFormatting>
  <conditionalFormatting sqref="G61">
    <cfRule type="duplicateValues" dxfId="3211" priority="15235"/>
  </conditionalFormatting>
  <conditionalFormatting sqref="G62">
    <cfRule type="duplicateValues" dxfId="3210" priority="15197"/>
  </conditionalFormatting>
  <conditionalFormatting sqref="G64">
    <cfRule type="duplicateValues" dxfId="3209" priority="15134"/>
  </conditionalFormatting>
  <conditionalFormatting sqref="G65">
    <cfRule type="duplicateValues" dxfId="3208" priority="15203"/>
  </conditionalFormatting>
  <conditionalFormatting sqref="G68">
    <cfRule type="duplicateValues" dxfId="3207" priority="15300"/>
  </conditionalFormatting>
  <conditionalFormatting sqref="G69">
    <cfRule type="duplicateValues" dxfId="3206" priority="15318"/>
  </conditionalFormatting>
  <conditionalFormatting sqref="G71">
    <cfRule type="duplicateValues" dxfId="3205" priority="16622"/>
  </conditionalFormatting>
  <conditionalFormatting sqref="J32">
    <cfRule type="duplicateValues" dxfId="3204" priority="14501"/>
    <cfRule type="duplicateValues" dxfId="3203" priority="14502"/>
    <cfRule type="duplicateValues" dxfId="3202" priority="14503"/>
  </conditionalFormatting>
  <conditionalFormatting sqref="J33">
    <cfRule type="duplicateValues" dxfId="3201" priority="14499"/>
    <cfRule type="duplicateValues" dxfId="3200" priority="14500"/>
  </conditionalFormatting>
  <conditionalFormatting sqref="J34">
    <cfRule type="duplicateValues" dxfId="3199" priority="14497"/>
    <cfRule type="duplicateValues" dxfId="3198" priority="14498"/>
  </conditionalFormatting>
  <conditionalFormatting sqref="J35">
    <cfRule type="duplicateValues" dxfId="3197" priority="14495"/>
    <cfRule type="duplicateValues" dxfId="3196" priority="14496"/>
  </conditionalFormatting>
  <conditionalFormatting sqref="J36">
    <cfRule type="duplicateValues" dxfId="3195" priority="14473"/>
  </conditionalFormatting>
  <conditionalFormatting sqref="J37">
    <cfRule type="duplicateValues" dxfId="3194" priority="14494"/>
  </conditionalFormatting>
  <conditionalFormatting sqref="J38">
    <cfRule type="duplicateValues" dxfId="3193" priority="14489"/>
    <cfRule type="duplicateValues" dxfId="3192" priority="14490"/>
    <cfRule type="duplicateValues" dxfId="3191" priority="14491"/>
    <cfRule type="duplicateValues" dxfId="3190" priority="14492"/>
    <cfRule type="duplicateValues" dxfId="3189" priority="14493"/>
  </conditionalFormatting>
  <conditionalFormatting sqref="J39">
    <cfRule type="duplicateValues" dxfId="3188" priority="14487"/>
    <cfRule type="duplicateValues" dxfId="3187" priority="14488"/>
  </conditionalFormatting>
  <conditionalFormatting sqref="J40">
    <cfRule type="duplicateValues" dxfId="3186" priority="14486"/>
  </conditionalFormatting>
  <conditionalFormatting sqref="J41">
    <cfRule type="duplicateValues" dxfId="3185" priority="14485"/>
  </conditionalFormatting>
  <conditionalFormatting sqref="J42">
    <cfRule type="duplicateValues" dxfId="3184" priority="14482"/>
    <cfRule type="duplicateValues" dxfId="3183" priority="14483"/>
    <cfRule type="duplicateValues" dxfId="3182" priority="14484"/>
  </conditionalFormatting>
  <conditionalFormatting sqref="J43">
    <cfRule type="duplicateValues" dxfId="3181" priority="14480"/>
    <cfRule type="duplicateValues" dxfId="3180" priority="14481"/>
  </conditionalFormatting>
  <conditionalFormatting sqref="J44">
    <cfRule type="duplicateValues" dxfId="3179" priority="14478"/>
    <cfRule type="duplicateValues" dxfId="3178" priority="14479"/>
  </conditionalFormatting>
  <conditionalFormatting sqref="J45">
    <cfRule type="duplicateValues" dxfId="3177" priority="14477"/>
  </conditionalFormatting>
  <conditionalFormatting sqref="J46">
    <cfRule type="duplicateValues" dxfId="3176" priority="14474"/>
    <cfRule type="duplicateValues" dxfId="3175" priority="14475"/>
    <cfRule type="duplicateValues" dxfId="3174" priority="14476"/>
  </conditionalFormatting>
  <conditionalFormatting sqref="J47">
    <cfRule type="duplicateValues" dxfId="3173" priority="14472"/>
  </conditionalFormatting>
  <conditionalFormatting sqref="J48">
    <cfRule type="duplicateValues" dxfId="3172" priority="14468"/>
    <cfRule type="duplicateValues" dxfId="3171" priority="14469"/>
    <cfRule type="duplicateValues" dxfId="3170" priority="14470"/>
    <cfRule type="duplicateValues" dxfId="3169" priority="14471"/>
  </conditionalFormatting>
  <conditionalFormatting sqref="J49">
    <cfRule type="duplicateValues" dxfId="3168" priority="14466"/>
    <cfRule type="duplicateValues" dxfId="3167" priority="14467"/>
  </conditionalFormatting>
  <conditionalFormatting sqref="J50">
    <cfRule type="duplicateValues" dxfId="3166" priority="14464"/>
    <cfRule type="duplicateValues" dxfId="3165" priority="14465"/>
  </conditionalFormatting>
  <conditionalFormatting sqref="J55">
    <cfRule type="duplicateValues" dxfId="3164" priority="2506"/>
    <cfRule type="duplicateValues" dxfId="3163" priority="2507"/>
    <cfRule type="duplicateValues" dxfId="3162" priority="2508"/>
    <cfRule type="duplicateValues" dxfId="3161" priority="2509"/>
    <cfRule type="duplicateValues" dxfId="3160" priority="2510"/>
  </conditionalFormatting>
  <conditionalFormatting sqref="K8">
    <cfRule type="duplicateValues" dxfId="3159" priority="1409"/>
    <cfRule type="duplicateValues" dxfId="3158" priority="1410"/>
    <cfRule type="duplicateValues" dxfId="3157" priority="1411"/>
    <cfRule type="duplicateValues" dxfId="3156" priority="1412"/>
    <cfRule type="duplicateValues" dxfId="3155" priority="1413"/>
  </conditionalFormatting>
  <conditionalFormatting sqref="K9">
    <cfRule type="duplicateValues" dxfId="3154" priority="1379"/>
    <cfRule type="duplicateValues" dxfId="3153" priority="1380"/>
    <cfRule type="duplicateValues" dxfId="3152" priority="1381"/>
    <cfRule type="duplicateValues" dxfId="3151" priority="1382"/>
    <cfRule type="duplicateValues" dxfId="3150" priority="1383"/>
    <cfRule type="duplicateValues" dxfId="3149" priority="1384"/>
    <cfRule type="duplicateValues" dxfId="3148" priority="1385"/>
    <cfRule type="duplicateValues" dxfId="3147" priority="1386"/>
    <cfRule type="duplicateValues" dxfId="3146" priority="1387"/>
    <cfRule type="duplicateValues" dxfId="3145" priority="1388"/>
    <cfRule type="duplicateValues" dxfId="3144" priority="1389"/>
    <cfRule type="duplicateValues" dxfId="3143" priority="1390"/>
    <cfRule type="duplicateValues" dxfId="3142" priority="1391"/>
    <cfRule type="duplicateValues" dxfId="3141" priority="1392"/>
    <cfRule type="duplicateValues" dxfId="3140" priority="1393"/>
    <cfRule type="duplicateValues" dxfId="3139" priority="1394"/>
    <cfRule type="duplicateValues" dxfId="3138" priority="1395"/>
    <cfRule type="duplicateValues" dxfId="3137" priority="1396"/>
    <cfRule type="duplicateValues" dxfId="3136" priority="1397"/>
    <cfRule type="duplicateValues" dxfId="3135" priority="1398"/>
    <cfRule type="duplicateValues" dxfId="3134" priority="1399"/>
    <cfRule type="duplicateValues" dxfId="3133" priority="1400"/>
    <cfRule type="duplicateValues" dxfId="3132" priority="1401"/>
    <cfRule type="duplicateValues" dxfId="3131" priority="1402"/>
    <cfRule type="duplicateValues" dxfId="3130" priority="1403"/>
    <cfRule type="duplicateValues" dxfId="3129" priority="1404"/>
    <cfRule type="duplicateValues" dxfId="3128" priority="1405"/>
    <cfRule type="duplicateValues" dxfId="3127" priority="1406"/>
    <cfRule type="duplicateValues" dxfId="3126" priority="1407"/>
    <cfRule type="duplicateValues" dxfId="3125" priority="1408"/>
  </conditionalFormatting>
  <conditionalFormatting sqref="K10">
    <cfRule type="duplicateValues" dxfId="3124" priority="1316"/>
    <cfRule type="duplicateValues" dxfId="3123" priority="1317"/>
    <cfRule type="duplicateValues" dxfId="3122" priority="1318"/>
  </conditionalFormatting>
  <conditionalFormatting sqref="K11">
    <cfRule type="duplicateValues" dxfId="3121" priority="1303"/>
    <cfRule type="duplicateValues" dxfId="3120" priority="1304"/>
    <cfRule type="duplicateValues" dxfId="3119" priority="1305"/>
    <cfRule type="duplicateValues" dxfId="3118" priority="1306"/>
    <cfRule type="duplicateValues" dxfId="3117" priority="1307"/>
    <cfRule type="duplicateValues" dxfId="3116" priority="1308"/>
    <cfRule type="duplicateValues" dxfId="3115" priority="1309"/>
    <cfRule type="duplicateValues" dxfId="3114" priority="1310"/>
    <cfRule type="duplicateValues" dxfId="3113" priority="1311"/>
    <cfRule type="duplicateValues" dxfId="3112" priority="1312"/>
    <cfRule type="duplicateValues" dxfId="3111" priority="1313"/>
    <cfRule type="duplicateValues" dxfId="3110" priority="1314"/>
    <cfRule type="duplicateValues" dxfId="3109" priority="1315"/>
  </conditionalFormatting>
  <conditionalFormatting sqref="K12">
    <cfRule type="duplicateValues" dxfId="3108" priority="1294"/>
    <cfRule type="duplicateValues" dxfId="3107" priority="1295"/>
    <cfRule type="duplicateValues" dxfId="3106" priority="1296"/>
    <cfRule type="duplicateValues" dxfId="3105" priority="1297"/>
    <cfRule type="duplicateValues" dxfId="3104" priority="1298"/>
    <cfRule type="duplicateValues" dxfId="3103" priority="1299"/>
    <cfRule type="duplicateValues" dxfId="3102" priority="1300"/>
    <cfRule type="duplicateValues" dxfId="3101" priority="1301"/>
    <cfRule type="duplicateValues" dxfId="3100" priority="1302"/>
  </conditionalFormatting>
  <conditionalFormatting sqref="K84">
    <cfRule type="duplicateValues" dxfId="3099" priority="13189"/>
    <cfRule type="duplicateValues" dxfId="3098" priority="13190"/>
    <cfRule type="duplicateValues" dxfId="3097" priority="13191"/>
    <cfRule type="duplicateValues" dxfId="3096" priority="13192"/>
    <cfRule type="duplicateValues" dxfId="3095" priority="13193"/>
  </conditionalFormatting>
  <conditionalFormatting sqref="K85">
    <cfRule type="duplicateValues" dxfId="3094" priority="13186"/>
    <cfRule type="duplicateValues" dxfId="3093" priority="13187"/>
    <cfRule type="duplicateValues" dxfId="3092" priority="13188"/>
    <cfRule type="duplicateValues" dxfId="3091" priority="13196"/>
    <cfRule type="duplicateValues" dxfId="3090" priority="13197"/>
  </conditionalFormatting>
  <conditionalFormatting sqref="K85:K86">
    <cfRule type="duplicateValues" dxfId="3089" priority="13194"/>
    <cfRule type="duplicateValues" dxfId="3088" priority="13198"/>
    <cfRule type="duplicateValues" dxfId="3087" priority="13199"/>
  </conditionalFormatting>
  <conditionalFormatting sqref="K86">
    <cfRule type="duplicateValues" dxfId="3086" priority="13165"/>
    <cfRule type="duplicateValues" dxfId="3085" priority="13166"/>
    <cfRule type="duplicateValues" dxfId="3084" priority="13167"/>
    <cfRule type="duplicateValues" dxfId="3083" priority="13168"/>
    <cfRule type="duplicateValues" dxfId="3082" priority="13169"/>
    <cfRule type="duplicateValues" dxfId="3081" priority="13170"/>
    <cfRule type="duplicateValues" dxfId="3080" priority="13171"/>
    <cfRule type="duplicateValues" dxfId="3079" priority="13172"/>
    <cfRule type="duplicateValues" dxfId="3078" priority="13173"/>
    <cfRule type="duplicateValues" dxfId="3077" priority="13174"/>
    <cfRule type="duplicateValues" dxfId="3076" priority="13175"/>
    <cfRule type="duplicateValues" dxfId="3075" priority="13176"/>
    <cfRule type="duplicateValues" dxfId="3074" priority="13177"/>
    <cfRule type="duplicateValues" dxfId="3073" priority="13178"/>
    <cfRule type="duplicateValues" dxfId="3072" priority="13179"/>
    <cfRule type="duplicateValues" dxfId="3071" priority="13180"/>
    <cfRule type="duplicateValues" dxfId="3070" priority="13181"/>
    <cfRule type="duplicateValues" dxfId="3069" priority="13182"/>
    <cfRule type="duplicateValues" dxfId="3068" priority="13183"/>
    <cfRule type="duplicateValues" dxfId="3067" priority="13184"/>
    <cfRule type="duplicateValues" dxfId="3066" priority="13185"/>
    <cfRule type="duplicateValues" dxfId="3065" priority="13195"/>
  </conditionalFormatting>
  <conditionalFormatting sqref="K87">
    <cfRule type="duplicateValues" dxfId="3064" priority="13144"/>
    <cfRule type="duplicateValues" dxfId="3063" priority="13145"/>
    <cfRule type="duplicateValues" dxfId="3062" priority="13146"/>
    <cfRule type="duplicateValues" dxfId="3061" priority="13147"/>
    <cfRule type="duplicateValues" dxfId="3060" priority="13148"/>
    <cfRule type="duplicateValues" dxfId="3059" priority="13149"/>
    <cfRule type="duplicateValues" dxfId="3058" priority="13150"/>
    <cfRule type="duplicateValues" dxfId="3057" priority="13151"/>
    <cfRule type="duplicateValues" dxfId="3056" priority="13152"/>
    <cfRule type="duplicateValues" dxfId="3055" priority="13153"/>
    <cfRule type="duplicateValues" dxfId="3054" priority="13154"/>
    <cfRule type="duplicateValues" dxfId="3053" priority="13155"/>
    <cfRule type="duplicateValues" dxfId="3052" priority="13156"/>
    <cfRule type="duplicateValues" dxfId="3051" priority="13157"/>
    <cfRule type="duplicateValues" dxfId="3050" priority="13158"/>
    <cfRule type="duplicateValues" dxfId="3049" priority="13159"/>
    <cfRule type="duplicateValues" dxfId="3048" priority="13160"/>
    <cfRule type="duplicateValues" dxfId="3047" priority="13161"/>
    <cfRule type="duplicateValues" dxfId="3046" priority="13162"/>
    <cfRule type="duplicateValues" dxfId="3045" priority="13163"/>
    <cfRule type="duplicateValues" dxfId="3044" priority="13164"/>
  </conditionalFormatting>
  <conditionalFormatting sqref="L8:L11">
    <cfRule type="duplicateValues" dxfId="3043" priority="1374"/>
    <cfRule type="duplicateValues" dxfId="3042" priority="1375"/>
    <cfRule type="duplicateValues" dxfId="3041" priority="1376"/>
    <cfRule type="duplicateValues" dxfId="3040" priority="1377"/>
    <cfRule type="duplicateValues" dxfId="3039" priority="1378"/>
  </conditionalFormatting>
  <conditionalFormatting sqref="N5:N94">
    <cfRule type="duplicateValues" dxfId="3038" priority="16699"/>
    <cfRule type="duplicateValues" dxfId="3037" priority="16700"/>
  </conditionalFormatting>
  <dataValidations count="1">
    <dataValidation type="list" allowBlank="1" showInputMessage="1" showErrorMessage="1" sqref="E1:E1048576" xr:uid="{31371C39-2E6A-4394-9C72-F1E97CACF2E2}">
      <formula1>$H$5:$H$12</formula1>
    </dataValidation>
  </dataValidations>
  <pageMargins left="0.7" right="0.7" top="0.78740157499999996" bottom="0.78740157499999996" header="0.3" footer="0.3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A310-08AC-42FF-991D-714474B4158D}">
  <sheetPr filterMode="1">
    <pageSetUpPr fitToPage="1"/>
  </sheetPr>
  <dimension ref="B2:AV130"/>
  <sheetViews>
    <sheetView workbookViewId="0">
      <selection activeCell="C15" sqref="C15:D15"/>
    </sheetView>
  </sheetViews>
  <sheetFormatPr baseColWidth="10" defaultColWidth="9.140625" defaultRowHeight="15" x14ac:dyDescent="0.25"/>
  <cols>
    <col min="3" max="3" width="19.5703125" customWidth="1"/>
    <col min="4" max="4" width="21.42578125" customWidth="1"/>
    <col min="5" max="5" width="67.85546875" customWidth="1"/>
    <col min="6" max="6" width="10.140625" customWidth="1"/>
    <col min="7" max="7" width="35.7109375" customWidth="1"/>
    <col min="8" max="8" width="40.140625" customWidth="1"/>
    <col min="9" max="9" width="27.5703125" bestFit="1" customWidth="1"/>
    <col min="10" max="10" width="39.28515625" customWidth="1"/>
    <col min="16" max="16" width="9.28515625" bestFit="1" customWidth="1"/>
    <col min="18" max="18" width="11.28515625" bestFit="1" customWidth="1"/>
  </cols>
  <sheetData>
    <row r="2" spans="2:30" x14ac:dyDescent="0.25">
      <c r="C2" s="50"/>
      <c r="D2" s="50"/>
      <c r="E2" s="50"/>
      <c r="F2" s="51"/>
      <c r="I2" s="51"/>
    </row>
    <row r="3" spans="2:30" x14ac:dyDescent="0.25">
      <c r="C3" s="50"/>
      <c r="D3" s="50"/>
      <c r="E3" s="50"/>
      <c r="F3" s="50"/>
      <c r="I3" s="50"/>
      <c r="N3" s="50"/>
    </row>
    <row r="4" spans="2:30" x14ac:dyDescent="0.25">
      <c r="B4" s="30" t="s">
        <v>306</v>
      </c>
      <c r="C4" s="23" t="s">
        <v>0</v>
      </c>
      <c r="D4" s="23" t="s">
        <v>510</v>
      </c>
      <c r="E4" s="23" t="s">
        <v>511</v>
      </c>
      <c r="F4" s="23" t="s">
        <v>512</v>
      </c>
      <c r="G4" s="23" t="s">
        <v>247</v>
      </c>
      <c r="H4" s="23" t="s">
        <v>513</v>
      </c>
      <c r="I4" s="23" t="s">
        <v>512</v>
      </c>
      <c r="J4" s="23" t="s">
        <v>514</v>
      </c>
    </row>
    <row r="5" spans="2:30" hidden="1" x14ac:dyDescent="0.25">
      <c r="B5" s="87">
        <v>1</v>
      </c>
      <c r="C5" s="20" t="s">
        <v>36</v>
      </c>
      <c r="D5" s="20" t="s">
        <v>515</v>
      </c>
      <c r="E5" s="48" t="s">
        <v>516</v>
      </c>
      <c r="F5" s="21" t="s">
        <v>517</v>
      </c>
      <c r="G5" s="48"/>
      <c r="H5" s="20"/>
      <c r="I5" s="21"/>
      <c r="J5" s="20"/>
    </row>
    <row r="6" spans="2:30" hidden="1" x14ac:dyDescent="0.25">
      <c r="B6" s="87">
        <v>2</v>
      </c>
      <c r="C6" s="20" t="s">
        <v>310</v>
      </c>
      <c r="D6" s="20" t="s">
        <v>23</v>
      </c>
      <c r="E6" s="48" t="s">
        <v>518</v>
      </c>
      <c r="F6" s="21" t="s">
        <v>312</v>
      </c>
      <c r="G6" s="48"/>
      <c r="H6" s="20" t="s">
        <v>519</v>
      </c>
      <c r="I6" s="21" t="s">
        <v>520</v>
      </c>
      <c r="J6" s="20"/>
    </row>
    <row r="7" spans="2:30" hidden="1" x14ac:dyDescent="0.25">
      <c r="B7" s="87">
        <v>3</v>
      </c>
      <c r="C7" s="20" t="s">
        <v>314</v>
      </c>
      <c r="D7" s="20" t="s">
        <v>315</v>
      </c>
      <c r="E7" s="48" t="s">
        <v>316</v>
      </c>
      <c r="F7" s="21" t="s">
        <v>312</v>
      </c>
      <c r="G7" s="48"/>
      <c r="H7" s="55" t="s">
        <v>521</v>
      </c>
      <c r="I7" s="21" t="s">
        <v>522</v>
      </c>
      <c r="J7" s="55"/>
    </row>
    <row r="8" spans="2:30" hidden="1" x14ac:dyDescent="0.25">
      <c r="B8" s="87">
        <v>4</v>
      </c>
      <c r="C8" s="20" t="s">
        <v>318</v>
      </c>
      <c r="D8" s="20" t="s">
        <v>19</v>
      </c>
      <c r="E8" s="32" t="s">
        <v>319</v>
      </c>
      <c r="F8" s="21" t="s">
        <v>312</v>
      </c>
      <c r="G8" s="48"/>
      <c r="H8" s="34" t="s">
        <v>523</v>
      </c>
      <c r="I8" s="21" t="s">
        <v>524</v>
      </c>
      <c r="J8" s="71"/>
    </row>
    <row r="9" spans="2:30" hidden="1" x14ac:dyDescent="0.25">
      <c r="B9" s="87">
        <v>5</v>
      </c>
      <c r="C9" s="20" t="s">
        <v>321</v>
      </c>
      <c r="D9" s="20" t="s">
        <v>322</v>
      </c>
      <c r="E9" s="48" t="s">
        <v>525</v>
      </c>
      <c r="F9" s="21" t="s">
        <v>312</v>
      </c>
      <c r="G9" s="48"/>
      <c r="H9" s="20" t="s">
        <v>526</v>
      </c>
      <c r="I9" s="21" t="s">
        <v>527</v>
      </c>
      <c r="J9" s="48"/>
    </row>
    <row r="10" spans="2:30" hidden="1" x14ac:dyDescent="0.25">
      <c r="B10" s="87">
        <v>6</v>
      </c>
      <c r="C10" s="20" t="s">
        <v>325</v>
      </c>
      <c r="D10" s="20" t="s">
        <v>8</v>
      </c>
      <c r="E10" s="48" t="s">
        <v>528</v>
      </c>
      <c r="F10" s="21" t="s">
        <v>312</v>
      </c>
      <c r="G10" s="48"/>
      <c r="H10" s="20" t="s">
        <v>529</v>
      </c>
      <c r="I10" s="21" t="s">
        <v>524</v>
      </c>
      <c r="J10" s="48"/>
    </row>
    <row r="11" spans="2:30" hidden="1" x14ac:dyDescent="0.25">
      <c r="B11" s="87">
        <v>7</v>
      </c>
      <c r="C11" s="20" t="s">
        <v>329</v>
      </c>
      <c r="D11" s="20" t="s">
        <v>330</v>
      </c>
      <c r="E11" s="35" t="s">
        <v>530</v>
      </c>
      <c r="F11" s="21" t="s">
        <v>312</v>
      </c>
      <c r="G11" s="48"/>
      <c r="H11" s="20" t="s">
        <v>531</v>
      </c>
      <c r="I11" s="21" t="s">
        <v>532</v>
      </c>
      <c r="J11" s="35"/>
    </row>
    <row r="12" spans="2:30" hidden="1" x14ac:dyDescent="0.25">
      <c r="B12" s="87">
        <v>8</v>
      </c>
      <c r="C12" s="20" t="s">
        <v>335</v>
      </c>
      <c r="D12" s="20" t="s">
        <v>28</v>
      </c>
      <c r="E12" s="49" t="s">
        <v>533</v>
      </c>
      <c r="F12" s="21" t="s">
        <v>312</v>
      </c>
      <c r="G12" s="48"/>
      <c r="H12" s="25" t="s">
        <v>534</v>
      </c>
      <c r="I12" s="21" t="s">
        <v>535</v>
      </c>
      <c r="J12" s="49"/>
      <c r="Z12" s="77"/>
      <c r="AA12" s="77"/>
      <c r="AB12" s="77"/>
      <c r="AC12" s="77"/>
      <c r="AD12" s="77"/>
    </row>
    <row r="13" spans="2:30" hidden="1" x14ac:dyDescent="0.25">
      <c r="B13" s="87">
        <v>9</v>
      </c>
      <c r="C13" s="20" t="s">
        <v>340</v>
      </c>
      <c r="D13" s="20" t="s">
        <v>341</v>
      </c>
      <c r="E13" s="20" t="s">
        <v>342</v>
      </c>
      <c r="F13" s="21" t="s">
        <v>312</v>
      </c>
      <c r="G13" s="48"/>
      <c r="H13" s="20" t="s">
        <v>536</v>
      </c>
      <c r="I13" s="21" t="s">
        <v>522</v>
      </c>
      <c r="J13" s="20"/>
      <c r="Z13" s="77"/>
      <c r="AA13" s="77"/>
      <c r="AB13" s="77"/>
      <c r="AC13" s="77"/>
      <c r="AD13" s="77"/>
    </row>
    <row r="14" spans="2:30" hidden="1" x14ac:dyDescent="0.25">
      <c r="B14" s="87">
        <v>10</v>
      </c>
      <c r="C14" s="20" t="s">
        <v>346</v>
      </c>
      <c r="D14" s="20" t="s">
        <v>347</v>
      </c>
      <c r="E14" s="35" t="s">
        <v>537</v>
      </c>
      <c r="F14" s="21" t="s">
        <v>312</v>
      </c>
      <c r="G14" s="48"/>
      <c r="H14" s="35" t="s">
        <v>538</v>
      </c>
      <c r="I14" s="21" t="s">
        <v>522</v>
      </c>
      <c r="J14" s="35"/>
    </row>
    <row r="15" spans="2:30" hidden="1" x14ac:dyDescent="0.25">
      <c r="B15" s="87">
        <v>11</v>
      </c>
      <c r="C15" s="37" t="s">
        <v>351</v>
      </c>
      <c r="D15" s="37" t="s">
        <v>38</v>
      </c>
      <c r="E15" s="65" t="s">
        <v>539</v>
      </c>
      <c r="F15" s="21" t="s">
        <v>312</v>
      </c>
      <c r="G15" s="48"/>
      <c r="H15" s="65" t="s">
        <v>540</v>
      </c>
      <c r="I15" s="21" t="s">
        <v>541</v>
      </c>
      <c r="J15" s="65"/>
    </row>
    <row r="16" spans="2:30" hidden="1" x14ac:dyDescent="0.25">
      <c r="B16" s="88">
        <v>12</v>
      </c>
      <c r="C16" s="20" t="s">
        <v>355</v>
      </c>
      <c r="D16" s="20" t="s">
        <v>356</v>
      </c>
      <c r="E16" s="20" t="s">
        <v>542</v>
      </c>
      <c r="F16" s="21" t="s">
        <v>312</v>
      </c>
      <c r="G16" s="48"/>
      <c r="H16" s="20" t="s">
        <v>543</v>
      </c>
      <c r="I16" s="21" t="s">
        <v>541</v>
      </c>
      <c r="J16" s="20"/>
    </row>
    <row r="17" spans="2:30" hidden="1" x14ac:dyDescent="0.25">
      <c r="B17" s="88">
        <v>13</v>
      </c>
      <c r="C17" s="39" t="s">
        <v>357</v>
      </c>
      <c r="D17" s="39" t="s">
        <v>358</v>
      </c>
      <c r="E17" s="20" t="s">
        <v>359</v>
      </c>
      <c r="F17" s="21" t="s">
        <v>312</v>
      </c>
      <c r="G17" s="48"/>
      <c r="H17" s="20" t="s">
        <v>544</v>
      </c>
      <c r="I17" s="21" t="s">
        <v>545</v>
      </c>
      <c r="J17" s="20"/>
    </row>
    <row r="18" spans="2:30" hidden="1" x14ac:dyDescent="0.25">
      <c r="B18" s="88">
        <v>14</v>
      </c>
      <c r="C18" s="39" t="s">
        <v>360</v>
      </c>
      <c r="D18" s="39" t="s">
        <v>361</v>
      </c>
      <c r="E18" s="48" t="s">
        <v>546</v>
      </c>
      <c r="F18" s="21" t="s">
        <v>312</v>
      </c>
      <c r="G18" s="48"/>
      <c r="H18" s="20" t="s">
        <v>547</v>
      </c>
      <c r="I18" s="21" t="s">
        <v>548</v>
      </c>
      <c r="J18" s="48"/>
    </row>
    <row r="19" spans="2:30" hidden="1" x14ac:dyDescent="0.25">
      <c r="B19" s="88">
        <v>15</v>
      </c>
      <c r="C19" s="20" t="s">
        <v>48</v>
      </c>
      <c r="D19" s="20" t="s">
        <v>49</v>
      </c>
      <c r="E19" s="38" t="s">
        <v>369</v>
      </c>
      <c r="F19" s="21" t="s">
        <v>308</v>
      </c>
      <c r="G19" s="48"/>
      <c r="H19" s="35" t="s">
        <v>549</v>
      </c>
      <c r="I19" s="21" t="s">
        <v>550</v>
      </c>
      <c r="J19" s="38"/>
      <c r="Z19" s="78"/>
      <c r="AA19" s="78"/>
      <c r="AB19" s="78"/>
      <c r="AC19" s="78"/>
      <c r="AD19" s="78"/>
    </row>
    <row r="20" spans="2:30" hidden="1" x14ac:dyDescent="0.25">
      <c r="B20" s="88">
        <v>16</v>
      </c>
      <c r="C20" s="20" t="s">
        <v>364</v>
      </c>
      <c r="D20" s="20" t="s">
        <v>41</v>
      </c>
      <c r="E20" s="48" t="s">
        <v>44</v>
      </c>
      <c r="F20" s="21" t="s">
        <v>308</v>
      </c>
      <c r="G20" s="48"/>
      <c r="H20" s="20" t="s">
        <v>519</v>
      </c>
      <c r="I20" s="21" t="s">
        <v>548</v>
      </c>
      <c r="J20" s="48"/>
      <c r="Z20" s="78"/>
      <c r="AA20" s="78"/>
      <c r="AB20" s="78"/>
      <c r="AC20" s="78"/>
      <c r="AD20" s="78"/>
    </row>
    <row r="21" spans="2:30" hidden="1" x14ac:dyDescent="0.25">
      <c r="B21" s="87">
        <v>17</v>
      </c>
      <c r="C21" s="38" t="s">
        <v>366</v>
      </c>
      <c r="D21" s="38" t="s">
        <v>46</v>
      </c>
      <c r="E21" s="38" t="s">
        <v>551</v>
      </c>
      <c r="F21" s="21" t="s">
        <v>308</v>
      </c>
      <c r="G21" s="48"/>
      <c r="H21" s="20" t="s">
        <v>552</v>
      </c>
      <c r="I21" s="21" t="s">
        <v>522</v>
      </c>
      <c r="J21" s="38"/>
      <c r="N21" s="50"/>
      <c r="O21" s="43"/>
    </row>
    <row r="22" spans="2:30" hidden="1" x14ac:dyDescent="0.25">
      <c r="B22" s="89">
        <v>18</v>
      </c>
      <c r="C22" s="20" t="s">
        <v>99</v>
      </c>
      <c r="D22" s="38" t="s">
        <v>368</v>
      </c>
      <c r="E22" s="25" t="s">
        <v>101</v>
      </c>
      <c r="F22" s="21" t="s">
        <v>308</v>
      </c>
      <c r="G22" s="48"/>
      <c r="H22" s="35"/>
      <c r="I22" s="21"/>
      <c r="J22" s="20"/>
    </row>
    <row r="23" spans="2:30" hidden="1" x14ac:dyDescent="0.25">
      <c r="B23" s="89">
        <v>19</v>
      </c>
      <c r="C23" s="20" t="s">
        <v>370</v>
      </c>
      <c r="D23" s="20" t="s">
        <v>88</v>
      </c>
      <c r="E23" s="20" t="s">
        <v>371</v>
      </c>
      <c r="F23" s="21" t="s">
        <v>308</v>
      </c>
      <c r="G23" s="48"/>
      <c r="H23" s="20"/>
      <c r="I23" s="21"/>
      <c r="J23" s="94" t="s">
        <v>553</v>
      </c>
      <c r="N23" s="50"/>
      <c r="O23" s="50"/>
    </row>
    <row r="24" spans="2:30" hidden="1" x14ac:dyDescent="0.25">
      <c r="B24" s="90">
        <v>20</v>
      </c>
      <c r="C24" s="20" t="s">
        <v>373</v>
      </c>
      <c r="D24" s="20" t="s">
        <v>199</v>
      </c>
      <c r="E24" s="20" t="s">
        <v>554</v>
      </c>
      <c r="F24" s="21" t="s">
        <v>332</v>
      </c>
      <c r="G24" s="48"/>
      <c r="H24" s="20"/>
      <c r="I24" s="21"/>
      <c r="J24" s="20" t="s">
        <v>61</v>
      </c>
    </row>
    <row r="25" spans="2:30" hidden="1" x14ac:dyDescent="0.25">
      <c r="B25" s="89">
        <v>21</v>
      </c>
      <c r="C25" s="20" t="s">
        <v>376</v>
      </c>
      <c r="D25" s="20" t="s">
        <v>377</v>
      </c>
      <c r="E25" s="20" t="s">
        <v>555</v>
      </c>
      <c r="F25" s="21" t="s">
        <v>308</v>
      </c>
      <c r="G25" s="20"/>
      <c r="H25" s="35" t="s">
        <v>556</v>
      </c>
      <c r="I25" s="21" t="s">
        <v>557</v>
      </c>
      <c r="J25" s="20" t="s">
        <v>425</v>
      </c>
    </row>
    <row r="26" spans="2:30" x14ac:dyDescent="0.25">
      <c r="B26" s="89">
        <v>22</v>
      </c>
      <c r="C26" s="20" t="s">
        <v>380</v>
      </c>
      <c r="D26" s="20" t="s">
        <v>228</v>
      </c>
      <c r="E26" s="20" t="s">
        <v>56</v>
      </c>
      <c r="F26" s="21" t="s">
        <v>320</v>
      </c>
      <c r="G26" s="20"/>
      <c r="H26" s="20"/>
      <c r="I26" s="21"/>
      <c r="J26" s="20" t="s">
        <v>558</v>
      </c>
    </row>
    <row r="27" spans="2:30" hidden="1" x14ac:dyDescent="0.25">
      <c r="B27" s="90">
        <v>23</v>
      </c>
      <c r="C27" s="20" t="s">
        <v>381</v>
      </c>
      <c r="D27" s="20" t="s">
        <v>153</v>
      </c>
      <c r="E27" s="48" t="s">
        <v>559</v>
      </c>
      <c r="F27" s="21" t="s">
        <v>332</v>
      </c>
      <c r="G27" s="20"/>
      <c r="H27" s="47"/>
      <c r="I27" s="21"/>
      <c r="J27" s="55" t="s">
        <v>560</v>
      </c>
    </row>
    <row r="28" spans="2:30" hidden="1" x14ac:dyDescent="0.25">
      <c r="B28" s="90">
        <v>24</v>
      </c>
      <c r="C28" s="20" t="s">
        <v>383</v>
      </c>
      <c r="D28" s="20" t="s">
        <v>384</v>
      </c>
      <c r="E28" s="20" t="s">
        <v>379</v>
      </c>
      <c r="F28" s="21" t="s">
        <v>343</v>
      </c>
      <c r="G28" s="48"/>
      <c r="H28" s="20"/>
      <c r="I28" s="21"/>
      <c r="J28" s="20"/>
    </row>
    <row r="29" spans="2:30" hidden="1" x14ac:dyDescent="0.25">
      <c r="B29" s="90">
        <v>25</v>
      </c>
      <c r="C29" s="20" t="s">
        <v>386</v>
      </c>
      <c r="D29" s="55" t="s">
        <v>561</v>
      </c>
      <c r="E29" s="20" t="s">
        <v>562</v>
      </c>
      <c r="F29" s="21" t="s">
        <v>332</v>
      </c>
      <c r="G29" s="48"/>
      <c r="H29" s="20"/>
      <c r="I29" s="21"/>
      <c r="J29" s="20"/>
    </row>
    <row r="30" spans="2:30" hidden="1" x14ac:dyDescent="0.25">
      <c r="B30" s="90">
        <v>26</v>
      </c>
      <c r="C30" s="20" t="s">
        <v>388</v>
      </c>
      <c r="D30" s="20" t="s">
        <v>52</v>
      </c>
      <c r="E30" s="20" t="s">
        <v>563</v>
      </c>
      <c r="F30" s="21" t="s">
        <v>332</v>
      </c>
      <c r="G30" s="20"/>
      <c r="H30" s="20"/>
      <c r="I30" s="21"/>
      <c r="J30" s="20"/>
    </row>
    <row r="31" spans="2:30" hidden="1" x14ac:dyDescent="0.25">
      <c r="B31" s="89">
        <v>27</v>
      </c>
      <c r="C31" s="20" t="s">
        <v>390</v>
      </c>
      <c r="D31" s="20" t="s">
        <v>82</v>
      </c>
      <c r="E31" s="48" t="s">
        <v>564</v>
      </c>
      <c r="F31" s="21" t="s">
        <v>308</v>
      </c>
      <c r="G31" s="20"/>
      <c r="H31" s="48"/>
      <c r="I31" s="21"/>
      <c r="J31" s="48"/>
      <c r="N31" s="50"/>
    </row>
    <row r="32" spans="2:30" hidden="1" x14ac:dyDescent="0.25">
      <c r="B32" s="90">
        <v>28</v>
      </c>
      <c r="C32" s="20" t="s">
        <v>392</v>
      </c>
      <c r="D32" s="20" t="s">
        <v>244</v>
      </c>
      <c r="E32" s="48" t="s">
        <v>565</v>
      </c>
      <c r="F32" s="21" t="s">
        <v>332</v>
      </c>
      <c r="G32" s="20"/>
      <c r="H32" s="48"/>
      <c r="I32" s="21"/>
      <c r="J32" s="48"/>
    </row>
    <row r="33" spans="2:32" hidden="1" x14ac:dyDescent="0.25">
      <c r="B33" s="90">
        <v>29</v>
      </c>
      <c r="C33" s="20" t="s">
        <v>393</v>
      </c>
      <c r="D33" s="20" t="s">
        <v>394</v>
      </c>
      <c r="E33" s="48" t="s">
        <v>395</v>
      </c>
      <c r="F33" s="21" t="s">
        <v>566</v>
      </c>
      <c r="G33" s="20"/>
      <c r="H33" s="48"/>
      <c r="I33" s="21"/>
      <c r="J33" s="48"/>
    </row>
    <row r="34" spans="2:32" hidden="1" x14ac:dyDescent="0.25">
      <c r="B34" s="89">
        <v>30</v>
      </c>
      <c r="C34" s="20" t="s">
        <v>396</v>
      </c>
      <c r="D34" s="20" t="s">
        <v>397</v>
      </c>
      <c r="E34" s="48" t="s">
        <v>178</v>
      </c>
      <c r="F34" s="21" t="s">
        <v>308</v>
      </c>
      <c r="G34" s="20"/>
      <c r="H34" s="48"/>
      <c r="I34" s="21"/>
      <c r="J34" s="48"/>
      <c r="N34" s="50"/>
    </row>
    <row r="35" spans="2:32" hidden="1" x14ac:dyDescent="0.25">
      <c r="B35" s="89">
        <v>31</v>
      </c>
      <c r="C35" s="20" t="s">
        <v>398</v>
      </c>
      <c r="D35" s="20" t="s">
        <v>112</v>
      </c>
      <c r="E35" s="25" t="s">
        <v>567</v>
      </c>
      <c r="F35" s="21" t="s">
        <v>308</v>
      </c>
      <c r="G35" s="20"/>
      <c r="H35" s="20"/>
      <c r="I35" s="21"/>
      <c r="J35" s="20"/>
    </row>
    <row r="36" spans="2:32" hidden="1" x14ac:dyDescent="0.25">
      <c r="B36" s="89">
        <v>32</v>
      </c>
      <c r="C36" s="20" t="s">
        <v>400</v>
      </c>
      <c r="D36" s="20" t="s">
        <v>401</v>
      </c>
      <c r="E36" s="20" t="s">
        <v>402</v>
      </c>
      <c r="F36" s="21" t="s">
        <v>308</v>
      </c>
      <c r="G36" s="20"/>
      <c r="H36" s="20"/>
      <c r="I36" s="21"/>
      <c r="J36" s="20"/>
      <c r="N36" s="50"/>
    </row>
    <row r="37" spans="2:32" hidden="1" x14ac:dyDescent="0.25">
      <c r="B37" s="89">
        <v>33</v>
      </c>
      <c r="C37" s="20" t="s">
        <v>403</v>
      </c>
      <c r="D37" s="20" t="s">
        <v>91</v>
      </c>
      <c r="E37" s="20" t="s">
        <v>337</v>
      </c>
      <c r="F37" s="21" t="s">
        <v>320</v>
      </c>
      <c r="G37" s="20"/>
      <c r="H37" s="20"/>
      <c r="I37" s="21"/>
      <c r="J37" s="20"/>
      <c r="N37" s="50"/>
    </row>
    <row r="38" spans="2:32" hidden="1" x14ac:dyDescent="0.25">
      <c r="B38" s="89">
        <v>34</v>
      </c>
      <c r="C38" s="20" t="s">
        <v>406</v>
      </c>
      <c r="D38" s="20" t="s">
        <v>216</v>
      </c>
      <c r="E38" s="20" t="s">
        <v>372</v>
      </c>
      <c r="F38" s="21" t="s">
        <v>308</v>
      </c>
      <c r="G38" s="20"/>
      <c r="H38" s="20"/>
      <c r="I38" s="21"/>
      <c r="J38" s="20"/>
    </row>
    <row r="39" spans="2:32" hidden="1" x14ac:dyDescent="0.25">
      <c r="B39" s="90">
        <v>35</v>
      </c>
      <c r="C39" s="20" t="s">
        <v>408</v>
      </c>
      <c r="D39" s="22" t="s">
        <v>409</v>
      </c>
      <c r="E39" s="20" t="s">
        <v>169</v>
      </c>
      <c r="F39" s="21" t="s">
        <v>349</v>
      </c>
      <c r="G39" s="20"/>
      <c r="H39" s="20"/>
      <c r="I39" s="21"/>
      <c r="J39" s="20"/>
    </row>
    <row r="40" spans="2:32" hidden="1" x14ac:dyDescent="0.25">
      <c r="B40" s="89">
        <v>36</v>
      </c>
      <c r="C40" s="20" t="s">
        <v>410</v>
      </c>
      <c r="D40" s="55" t="s">
        <v>411</v>
      </c>
      <c r="E40" s="20" t="s">
        <v>412</v>
      </c>
      <c r="F40" s="21" t="s">
        <v>308</v>
      </c>
      <c r="G40" s="20"/>
      <c r="H40" s="20"/>
      <c r="I40" s="21"/>
      <c r="J40" s="20"/>
    </row>
    <row r="41" spans="2:32" hidden="1" x14ac:dyDescent="0.25">
      <c r="B41" s="89">
        <v>37</v>
      </c>
      <c r="C41" s="20" t="s">
        <v>413</v>
      </c>
      <c r="D41" s="22" t="s">
        <v>414</v>
      </c>
      <c r="E41" s="48" t="s">
        <v>415</v>
      </c>
      <c r="F41" s="21" t="s">
        <v>308</v>
      </c>
      <c r="G41" s="20"/>
      <c r="H41" s="48"/>
      <c r="I41" s="21"/>
      <c r="J41" s="48"/>
    </row>
    <row r="42" spans="2:32" hidden="1" x14ac:dyDescent="0.25">
      <c r="B42" s="90">
        <v>38</v>
      </c>
      <c r="C42" s="20" t="s">
        <v>416</v>
      </c>
      <c r="D42" s="20" t="s">
        <v>207</v>
      </c>
      <c r="E42" s="20" t="s">
        <v>375</v>
      </c>
      <c r="F42" s="21" t="s">
        <v>566</v>
      </c>
      <c r="G42" s="20" t="s">
        <v>568</v>
      </c>
      <c r="H42" s="20"/>
      <c r="I42" s="21"/>
      <c r="J42" s="20"/>
    </row>
    <row r="43" spans="2:32" hidden="1" x14ac:dyDescent="0.25">
      <c r="B43" s="89">
        <v>39</v>
      </c>
      <c r="C43" s="37" t="s">
        <v>418</v>
      </c>
      <c r="D43" s="84" t="s">
        <v>85</v>
      </c>
      <c r="E43" s="85" t="s">
        <v>145</v>
      </c>
      <c r="F43" s="21" t="s">
        <v>308</v>
      </c>
      <c r="G43" s="53" t="s">
        <v>324</v>
      </c>
      <c r="H43" s="35"/>
      <c r="I43" s="21"/>
      <c r="J43" s="35"/>
    </row>
    <row r="44" spans="2:32" hidden="1" x14ac:dyDescent="0.25">
      <c r="B44" s="92">
        <v>40</v>
      </c>
      <c r="C44" s="20" t="s">
        <v>420</v>
      </c>
      <c r="D44" s="34" t="s">
        <v>118</v>
      </c>
      <c r="E44" s="20" t="s">
        <v>569</v>
      </c>
      <c r="F44" s="21" t="s">
        <v>320</v>
      </c>
      <c r="G44" s="53" t="s">
        <v>570</v>
      </c>
      <c r="H44" s="20"/>
      <c r="I44" s="21"/>
      <c r="J44" s="20"/>
    </row>
    <row r="45" spans="2:32" hidden="1" x14ac:dyDescent="0.25">
      <c r="B45" s="91">
        <v>41</v>
      </c>
      <c r="C45" s="20" t="s">
        <v>422</v>
      </c>
      <c r="D45" s="20" t="s">
        <v>260</v>
      </c>
      <c r="E45" s="95" t="s">
        <v>423</v>
      </c>
      <c r="F45" s="21" t="s">
        <v>566</v>
      </c>
      <c r="G45" s="53" t="s">
        <v>313</v>
      </c>
      <c r="H45" s="32"/>
      <c r="I45" s="21"/>
      <c r="J45" s="32"/>
    </row>
    <row r="46" spans="2:32" hidden="1" x14ac:dyDescent="0.25">
      <c r="B46" s="91">
        <v>42</v>
      </c>
      <c r="C46" s="20" t="s">
        <v>424</v>
      </c>
      <c r="D46" s="20" t="s">
        <v>425</v>
      </c>
      <c r="E46" s="57" t="s">
        <v>571</v>
      </c>
      <c r="F46" s="21" t="s">
        <v>343</v>
      </c>
      <c r="G46" s="75" t="s">
        <v>571</v>
      </c>
      <c r="H46" s="32"/>
      <c r="I46" s="21"/>
      <c r="J46" s="32"/>
    </row>
    <row r="47" spans="2:32" hidden="1" x14ac:dyDescent="0.25">
      <c r="B47" s="88">
        <v>43</v>
      </c>
      <c r="C47" s="20" t="s">
        <v>212</v>
      </c>
      <c r="D47" s="20" t="s">
        <v>213</v>
      </c>
      <c r="E47" s="20" t="s">
        <v>572</v>
      </c>
      <c r="F47" s="83" t="s">
        <v>312</v>
      </c>
      <c r="G47" s="20"/>
      <c r="H47" s="20"/>
      <c r="I47" s="21"/>
      <c r="J47" s="20"/>
      <c r="N47" s="50"/>
    </row>
    <row r="48" spans="2:32" hidden="1" x14ac:dyDescent="0.25">
      <c r="B48" s="92">
        <v>44</v>
      </c>
      <c r="C48" s="20" t="s">
        <v>215</v>
      </c>
      <c r="D48" s="20" t="s">
        <v>190</v>
      </c>
      <c r="E48" s="49" t="s">
        <v>573</v>
      </c>
      <c r="F48" s="83" t="s">
        <v>308</v>
      </c>
      <c r="G48" s="48"/>
      <c r="H48" s="48"/>
      <c r="I48" s="21"/>
      <c r="J48" s="48"/>
      <c r="AF48" s="50"/>
    </row>
    <row r="49" spans="2:48" hidden="1" x14ac:dyDescent="0.25">
      <c r="B49" s="92">
        <v>45</v>
      </c>
      <c r="C49" s="20" t="s">
        <v>218</v>
      </c>
      <c r="D49" s="20" t="s">
        <v>115</v>
      </c>
      <c r="E49" s="48" t="s">
        <v>429</v>
      </c>
      <c r="F49" s="83" t="s">
        <v>308</v>
      </c>
      <c r="G49" s="48"/>
      <c r="H49" s="20"/>
      <c r="I49" s="21"/>
      <c r="J49" s="48"/>
    </row>
    <row r="50" spans="2:48" hidden="1" x14ac:dyDescent="0.25">
      <c r="B50" s="89">
        <v>46</v>
      </c>
      <c r="C50" s="38" t="s">
        <v>221</v>
      </c>
      <c r="D50" s="38" t="s">
        <v>222</v>
      </c>
      <c r="E50" s="38" t="s">
        <v>430</v>
      </c>
      <c r="F50" s="21" t="s">
        <v>308</v>
      </c>
      <c r="G50" s="20" t="s">
        <v>458</v>
      </c>
      <c r="H50" s="20"/>
      <c r="I50" s="21"/>
      <c r="J50" s="20"/>
    </row>
    <row r="51" spans="2:48" hidden="1" x14ac:dyDescent="0.25">
      <c r="B51" s="89">
        <v>47</v>
      </c>
      <c r="C51" s="20" t="s">
        <v>224</v>
      </c>
      <c r="D51" s="20" t="s">
        <v>225</v>
      </c>
      <c r="E51" s="82" t="s">
        <v>431</v>
      </c>
      <c r="F51" s="21" t="s">
        <v>308</v>
      </c>
      <c r="G51" s="46" t="s">
        <v>462</v>
      </c>
      <c r="H51" s="81"/>
      <c r="I51" s="21"/>
      <c r="J51" s="81"/>
    </row>
    <row r="52" spans="2:48" hidden="1" x14ac:dyDescent="0.25">
      <c r="B52" s="89">
        <v>48</v>
      </c>
      <c r="C52" s="20" t="s">
        <v>432</v>
      </c>
      <c r="D52" s="20" t="s">
        <v>124</v>
      </c>
      <c r="E52" s="48" t="s">
        <v>574</v>
      </c>
      <c r="F52" s="21" t="s">
        <v>308</v>
      </c>
      <c r="G52" s="86" t="s">
        <v>464</v>
      </c>
      <c r="H52" s="32"/>
      <c r="I52" s="21"/>
      <c r="J52" s="48"/>
    </row>
    <row r="53" spans="2:48" hidden="1" x14ac:dyDescent="0.25">
      <c r="B53" s="89">
        <v>49</v>
      </c>
      <c r="C53" s="20" t="s">
        <v>435</v>
      </c>
      <c r="D53" s="32" t="s">
        <v>72</v>
      </c>
      <c r="E53" s="38" t="s">
        <v>436</v>
      </c>
      <c r="F53" s="21" t="s">
        <v>308</v>
      </c>
      <c r="G53" s="48"/>
      <c r="H53" s="38"/>
      <c r="I53" s="21"/>
      <c r="J53" s="38"/>
    </row>
    <row r="54" spans="2:48" hidden="1" x14ac:dyDescent="0.25">
      <c r="B54" s="89">
        <v>50</v>
      </c>
      <c r="C54" s="20" t="s">
        <v>437</v>
      </c>
      <c r="D54" s="19" t="s">
        <v>575</v>
      </c>
      <c r="E54" s="20" t="s">
        <v>576</v>
      </c>
      <c r="F54" s="21" t="s">
        <v>332</v>
      </c>
      <c r="G54" s="93" t="s">
        <v>467</v>
      </c>
      <c r="H54" s="20"/>
      <c r="I54" s="21"/>
      <c r="J54" s="20"/>
    </row>
    <row r="55" spans="2:48" hidden="1" x14ac:dyDescent="0.25">
      <c r="B55" s="89">
        <v>51</v>
      </c>
      <c r="C55" s="20" t="s">
        <v>440</v>
      </c>
      <c r="D55" s="20" t="s">
        <v>441</v>
      </c>
      <c r="E55" s="48" t="s">
        <v>442</v>
      </c>
      <c r="F55" s="21" t="s">
        <v>308</v>
      </c>
      <c r="G55" s="24" t="s">
        <v>83</v>
      </c>
      <c r="H55" s="49"/>
      <c r="I55" s="21"/>
      <c r="J55" s="48"/>
    </row>
    <row r="56" spans="2:48" hidden="1" x14ac:dyDescent="0.25">
      <c r="B56" s="89">
        <v>52</v>
      </c>
      <c r="C56" s="20" t="s">
        <v>443</v>
      </c>
      <c r="D56" s="25" t="s">
        <v>187</v>
      </c>
      <c r="E56" s="20" t="s">
        <v>80</v>
      </c>
      <c r="F56" s="21" t="s">
        <v>308</v>
      </c>
      <c r="G56" s="48"/>
      <c r="H56" s="20"/>
      <c r="I56" s="21"/>
      <c r="J56" s="20"/>
    </row>
    <row r="57" spans="2:48" hidden="1" x14ac:dyDescent="0.25">
      <c r="B57" s="89">
        <v>53</v>
      </c>
      <c r="C57" s="20" t="s">
        <v>445</v>
      </c>
      <c r="D57" t="s">
        <v>219</v>
      </c>
      <c r="E57" s="20" t="s">
        <v>577</v>
      </c>
      <c r="F57" s="21" t="s">
        <v>308</v>
      </c>
      <c r="G57" s="48"/>
      <c r="H57" s="20"/>
      <c r="I57" s="21"/>
      <c r="J57" s="20"/>
      <c r="U57" s="80"/>
      <c r="V57" s="80"/>
      <c r="W57" s="80"/>
      <c r="X57" s="80"/>
      <c r="AR57" s="77"/>
      <c r="AS57" s="77"/>
      <c r="AT57" s="77"/>
      <c r="AU57" s="77"/>
      <c r="AV57" s="77"/>
    </row>
    <row r="58" spans="2:48" hidden="1" x14ac:dyDescent="0.25">
      <c r="B58" s="89">
        <v>54</v>
      </c>
      <c r="C58" s="20" t="s">
        <v>447</v>
      </c>
      <c r="D58" s="19" t="s">
        <v>578</v>
      </c>
      <c r="E58" s="20" t="s">
        <v>579</v>
      </c>
      <c r="F58" s="21" t="s">
        <v>308</v>
      </c>
      <c r="G58" s="20"/>
      <c r="H58" s="20"/>
      <c r="I58" s="21"/>
      <c r="J58" s="20"/>
      <c r="AR58" s="77"/>
      <c r="AS58" s="77"/>
      <c r="AT58" s="77"/>
      <c r="AU58" s="77"/>
      <c r="AV58" s="77"/>
    </row>
    <row r="59" spans="2:48" hidden="1" x14ac:dyDescent="0.25">
      <c r="B59" s="89">
        <v>55</v>
      </c>
      <c r="C59" s="20" t="s">
        <v>450</v>
      </c>
      <c r="D59" t="s">
        <v>451</v>
      </c>
      <c r="E59" t="s">
        <v>580</v>
      </c>
      <c r="F59" s="21" t="s">
        <v>308</v>
      </c>
      <c r="I59" s="21"/>
    </row>
    <row r="60" spans="2:48" hidden="1" x14ac:dyDescent="0.25">
      <c r="B60" s="90">
        <v>56</v>
      </c>
      <c r="C60" s="20" t="s">
        <v>453</v>
      </c>
      <c r="D60" s="20" t="s">
        <v>137</v>
      </c>
      <c r="E60" s="20" t="s">
        <v>581</v>
      </c>
      <c r="F60" s="21" t="s">
        <v>332</v>
      </c>
      <c r="G60" s="20"/>
      <c r="H60" s="20"/>
      <c r="I60" s="21"/>
      <c r="J60" s="20"/>
    </row>
    <row r="61" spans="2:48" hidden="1" x14ac:dyDescent="0.25">
      <c r="B61" s="89">
        <v>57</v>
      </c>
      <c r="C61" s="20" t="s">
        <v>455</v>
      </c>
      <c r="D61" s="35" t="s">
        <v>582</v>
      </c>
      <c r="E61" s="20" t="s">
        <v>457</v>
      </c>
      <c r="F61" s="21" t="s">
        <v>308</v>
      </c>
      <c r="G61" s="20"/>
      <c r="H61" s="20"/>
      <c r="I61" s="21"/>
      <c r="J61" s="20"/>
    </row>
    <row r="62" spans="2:48" hidden="1" x14ac:dyDescent="0.25">
      <c r="B62" s="89">
        <v>58</v>
      </c>
      <c r="C62" s="20" t="s">
        <v>459</v>
      </c>
      <c r="D62" s="20" t="s">
        <v>460</v>
      </c>
      <c r="E62" s="20" t="s">
        <v>461</v>
      </c>
      <c r="F62" s="21" t="s">
        <v>308</v>
      </c>
      <c r="G62" s="20"/>
      <c r="H62" s="20"/>
      <c r="I62" s="21"/>
      <c r="J62" s="20"/>
    </row>
    <row r="63" spans="2:48" hidden="1" x14ac:dyDescent="0.25">
      <c r="B63" s="89">
        <v>59</v>
      </c>
      <c r="C63" s="20" t="s">
        <v>463</v>
      </c>
      <c r="D63" s="20" t="s">
        <v>121</v>
      </c>
      <c r="E63" t="s">
        <v>391</v>
      </c>
      <c r="F63" s="21" t="s">
        <v>308</v>
      </c>
      <c r="I63" s="21"/>
    </row>
    <row r="64" spans="2:48" hidden="1" x14ac:dyDescent="0.25">
      <c r="B64" s="89">
        <v>60</v>
      </c>
      <c r="C64" s="20" t="s">
        <v>465</v>
      </c>
      <c r="D64" s="20" t="s">
        <v>64</v>
      </c>
      <c r="E64" s="20" t="s">
        <v>583</v>
      </c>
      <c r="F64" s="21" t="s">
        <v>308</v>
      </c>
      <c r="G64" s="31"/>
      <c r="H64" s="31"/>
      <c r="I64" s="21"/>
      <c r="J64" s="31"/>
      <c r="AR64" s="78"/>
      <c r="AS64" s="78"/>
      <c r="AT64" s="78"/>
      <c r="AU64" s="78"/>
      <c r="AV64" s="78"/>
    </row>
    <row r="65" spans="2:48" hidden="1" x14ac:dyDescent="0.25">
      <c r="B65" s="89">
        <v>61</v>
      </c>
      <c r="C65" s="20" t="s">
        <v>468</v>
      </c>
      <c r="D65" s="20" t="s">
        <v>469</v>
      </c>
      <c r="E65" s="20" t="s">
        <v>470</v>
      </c>
      <c r="F65" s="21" t="s">
        <v>308</v>
      </c>
      <c r="G65" s="20"/>
      <c r="H65" s="20"/>
      <c r="I65" s="21"/>
      <c r="J65" s="20"/>
      <c r="AR65" s="78"/>
      <c r="AS65" s="78"/>
      <c r="AT65" s="78"/>
      <c r="AU65" s="78"/>
      <c r="AV65" s="78"/>
    </row>
    <row r="66" spans="2:48" hidden="1" x14ac:dyDescent="0.25">
      <c r="B66" s="90">
        <v>62</v>
      </c>
      <c r="C66" s="20" t="s">
        <v>471</v>
      </c>
      <c r="D66" s="20" t="s">
        <v>69</v>
      </c>
      <c r="E66" s="20" t="s">
        <v>472</v>
      </c>
      <c r="F66" s="21" t="s">
        <v>332</v>
      </c>
      <c r="G66" s="20"/>
      <c r="H66" s="20"/>
      <c r="I66" s="21"/>
      <c r="J66" s="20"/>
      <c r="N66" s="50"/>
      <c r="O66" s="43"/>
    </row>
    <row r="67" spans="2:48" hidden="1" x14ac:dyDescent="0.25">
      <c r="B67" s="90">
        <v>63</v>
      </c>
      <c r="C67" s="20" t="s">
        <v>584</v>
      </c>
      <c r="D67" s="55" t="s">
        <v>475</v>
      </c>
      <c r="E67" s="20" t="s">
        <v>350</v>
      </c>
      <c r="F67" s="21" t="s">
        <v>343</v>
      </c>
      <c r="G67" s="20"/>
      <c r="H67" s="20"/>
      <c r="I67" s="21"/>
      <c r="J67" s="20"/>
      <c r="AF67" s="50"/>
      <c r="AG67" s="43"/>
    </row>
    <row r="68" spans="2:48" hidden="1" x14ac:dyDescent="0.25">
      <c r="B68" s="90">
        <v>64</v>
      </c>
      <c r="C68" s="20" t="s">
        <v>478</v>
      </c>
      <c r="D68" s="22" t="s">
        <v>479</v>
      </c>
      <c r="E68" s="20" t="s">
        <v>585</v>
      </c>
      <c r="F68" s="21" t="s">
        <v>343</v>
      </c>
      <c r="G68" s="20"/>
      <c r="H68" s="20"/>
      <c r="I68" s="21"/>
      <c r="J68" s="20"/>
      <c r="N68" s="50"/>
      <c r="O68" s="50"/>
    </row>
    <row r="69" spans="2:48" hidden="1" x14ac:dyDescent="0.25">
      <c r="B69" s="90">
        <v>65</v>
      </c>
      <c r="C69" s="20" t="s">
        <v>481</v>
      </c>
      <c r="D69" s="20" t="s">
        <v>184</v>
      </c>
      <c r="E69" s="20" t="s">
        <v>586</v>
      </c>
      <c r="F69" s="21" t="s">
        <v>308</v>
      </c>
      <c r="G69" s="20"/>
      <c r="H69" s="20"/>
      <c r="I69" s="21"/>
      <c r="J69" s="20"/>
      <c r="AF69" s="50"/>
      <c r="AG69" s="50"/>
    </row>
    <row r="70" spans="2:48" hidden="1" x14ac:dyDescent="0.25">
      <c r="B70" s="90">
        <v>66</v>
      </c>
      <c r="C70" s="20" t="s">
        <v>483</v>
      </c>
      <c r="D70" s="20" t="s">
        <v>484</v>
      </c>
      <c r="E70" s="48" t="s">
        <v>98</v>
      </c>
      <c r="F70" s="21" t="s">
        <v>343</v>
      </c>
      <c r="G70" s="48"/>
      <c r="H70" s="48"/>
      <c r="I70" s="21"/>
      <c r="J70" s="48"/>
    </row>
    <row r="71" spans="2:48" hidden="1" x14ac:dyDescent="0.25">
      <c r="B71" s="90">
        <v>67</v>
      </c>
      <c r="C71" s="20" t="s">
        <v>486</v>
      </c>
      <c r="D71" s="20" t="s">
        <v>487</v>
      </c>
      <c r="E71" s="48" t="s">
        <v>587</v>
      </c>
      <c r="F71" s="21" t="s">
        <v>343</v>
      </c>
      <c r="G71" s="47"/>
      <c r="H71" s="47"/>
      <c r="I71" s="21"/>
      <c r="J71" s="47"/>
    </row>
    <row r="72" spans="2:48" hidden="1" x14ac:dyDescent="0.25">
      <c r="B72" s="90">
        <v>68</v>
      </c>
      <c r="C72" s="20" t="s">
        <v>489</v>
      </c>
      <c r="D72" s="20" t="s">
        <v>103</v>
      </c>
      <c r="E72" s="20" t="s">
        <v>588</v>
      </c>
      <c r="F72" s="21" t="s">
        <v>332</v>
      </c>
      <c r="G72" s="20"/>
      <c r="H72" s="20"/>
      <c r="I72" s="21"/>
      <c r="J72" s="20"/>
    </row>
    <row r="73" spans="2:48" hidden="1" x14ac:dyDescent="0.25">
      <c r="B73" s="90">
        <v>69</v>
      </c>
      <c r="C73" s="20" t="s">
        <v>491</v>
      </c>
      <c r="D73" s="20" t="s">
        <v>492</v>
      </c>
      <c r="E73" s="20" t="s">
        <v>493</v>
      </c>
      <c r="F73" s="21" t="s">
        <v>343</v>
      </c>
      <c r="G73" s="20"/>
      <c r="H73" s="20"/>
      <c r="I73" s="21"/>
      <c r="J73" s="20"/>
    </row>
    <row r="74" spans="2:48" hidden="1" x14ac:dyDescent="0.25">
      <c r="B74" s="90">
        <v>70</v>
      </c>
      <c r="C74" s="20" t="s">
        <v>494</v>
      </c>
      <c r="D74" s="20" t="s">
        <v>589</v>
      </c>
      <c r="E74" s="20" t="s">
        <v>344</v>
      </c>
      <c r="F74" s="21" t="s">
        <v>343</v>
      </c>
      <c r="G74" s="20"/>
      <c r="H74" s="20"/>
      <c r="I74" s="21"/>
      <c r="J74" s="20"/>
    </row>
    <row r="75" spans="2:48" hidden="1" x14ac:dyDescent="0.25">
      <c r="B75" s="87">
        <v>71</v>
      </c>
      <c r="C75" s="20" t="s">
        <v>227</v>
      </c>
      <c r="D75" s="20" t="s">
        <v>590</v>
      </c>
      <c r="E75" s="48" t="s">
        <v>591</v>
      </c>
      <c r="F75" s="21" t="s">
        <v>517</v>
      </c>
      <c r="G75" s="48"/>
      <c r="H75" s="48"/>
      <c r="I75" s="21"/>
      <c r="J75" s="48"/>
    </row>
    <row r="76" spans="2:48" hidden="1" x14ac:dyDescent="0.25">
      <c r="B76" s="87">
        <v>72</v>
      </c>
      <c r="C76" s="37" t="s">
        <v>592</v>
      </c>
      <c r="D76" s="37" t="s">
        <v>593</v>
      </c>
      <c r="E76" s="37" t="s">
        <v>594</v>
      </c>
      <c r="F76" s="70" t="s">
        <v>595</v>
      </c>
      <c r="G76" s="74"/>
      <c r="H76" s="74"/>
      <c r="I76" s="70"/>
      <c r="J76" s="74"/>
    </row>
    <row r="77" spans="2:48" hidden="1" x14ac:dyDescent="0.25">
      <c r="B77" s="87">
        <v>73</v>
      </c>
      <c r="C77" s="20" t="s">
        <v>504</v>
      </c>
      <c r="D77" s="20" t="s">
        <v>505</v>
      </c>
      <c r="E77" s="20" t="s">
        <v>506</v>
      </c>
      <c r="F77" s="21" t="s">
        <v>517</v>
      </c>
      <c r="G77" s="20"/>
      <c r="H77" s="20"/>
      <c r="I77" s="21"/>
      <c r="J77" s="20"/>
    </row>
    <row r="78" spans="2:48" hidden="1" x14ac:dyDescent="0.25">
      <c r="B78" s="87">
        <v>74</v>
      </c>
      <c r="C78" s="20" t="s">
        <v>507</v>
      </c>
      <c r="D78" s="20" t="s">
        <v>596</v>
      </c>
      <c r="E78" s="20" t="s">
        <v>509</v>
      </c>
      <c r="F78" s="21" t="s">
        <v>517</v>
      </c>
      <c r="G78" s="20"/>
      <c r="H78" s="20"/>
      <c r="I78" s="21"/>
      <c r="J78" s="20"/>
    </row>
    <row r="79" spans="2:48" hidden="1" x14ac:dyDescent="0.25">
      <c r="B79" s="26"/>
      <c r="C79" s="27"/>
      <c r="D79" s="27"/>
      <c r="E79" s="27"/>
      <c r="F79" s="28" t="s">
        <v>306</v>
      </c>
      <c r="I79" s="28" t="s">
        <v>306</v>
      </c>
    </row>
    <row r="80" spans="2:48" x14ac:dyDescent="0.25">
      <c r="C80" s="50"/>
      <c r="D80" s="50"/>
      <c r="E80" s="50"/>
      <c r="F80" s="50"/>
      <c r="I80" s="50"/>
    </row>
    <row r="81" spans="3:32" x14ac:dyDescent="0.25">
      <c r="C81" s="50"/>
      <c r="D81" s="50"/>
      <c r="E81" s="50"/>
      <c r="F81" s="50"/>
      <c r="I81" s="50"/>
    </row>
    <row r="82" spans="3:32" x14ac:dyDescent="0.25">
      <c r="C82" s="50"/>
      <c r="D82" s="50"/>
      <c r="E82" s="50"/>
      <c r="F82" s="50"/>
      <c r="I82" s="50"/>
    </row>
    <row r="83" spans="3:32" x14ac:dyDescent="0.25">
      <c r="C83" s="50"/>
      <c r="D83" s="50"/>
      <c r="E83" s="50"/>
      <c r="F83" s="50"/>
      <c r="I83" s="50"/>
    </row>
    <row r="84" spans="3:32" x14ac:dyDescent="0.25">
      <c r="C84" s="50"/>
      <c r="D84" s="50"/>
      <c r="E84" s="50"/>
      <c r="F84" s="50"/>
      <c r="I84" s="50"/>
    </row>
    <row r="85" spans="3:32" x14ac:dyDescent="0.25">
      <c r="C85" s="50"/>
      <c r="D85" s="50"/>
      <c r="E85" s="50"/>
      <c r="F85" s="50"/>
      <c r="I85" s="50"/>
    </row>
    <row r="86" spans="3:32" x14ac:dyDescent="0.25">
      <c r="C86" s="50"/>
      <c r="D86" s="50"/>
      <c r="E86" s="50"/>
      <c r="F86" s="50"/>
      <c r="I86" s="50"/>
    </row>
    <row r="87" spans="3:32" x14ac:dyDescent="0.25">
      <c r="C87" s="50"/>
      <c r="D87" s="50"/>
      <c r="E87" s="50"/>
      <c r="F87" s="50"/>
      <c r="I87" s="50"/>
    </row>
    <row r="88" spans="3:32" x14ac:dyDescent="0.25">
      <c r="C88" s="50"/>
      <c r="D88" s="50"/>
      <c r="E88" s="50"/>
      <c r="F88" s="50"/>
      <c r="I88" s="50"/>
    </row>
    <row r="89" spans="3:32" x14ac:dyDescent="0.25">
      <c r="C89" s="50"/>
      <c r="D89" s="50"/>
      <c r="E89" s="50"/>
      <c r="F89" s="50"/>
      <c r="I89" s="50"/>
    </row>
    <row r="90" spans="3:32" x14ac:dyDescent="0.25">
      <c r="C90" s="50"/>
      <c r="D90" s="50"/>
      <c r="E90" s="50"/>
      <c r="F90" s="50"/>
      <c r="I90" s="50"/>
    </row>
    <row r="91" spans="3:32" x14ac:dyDescent="0.25">
      <c r="C91" s="50"/>
      <c r="D91" s="50"/>
      <c r="E91" s="50"/>
      <c r="F91" s="50"/>
      <c r="I91" s="50"/>
    </row>
    <row r="92" spans="3:32" x14ac:dyDescent="0.25">
      <c r="C92" s="50"/>
      <c r="D92" s="50"/>
      <c r="E92" s="50"/>
      <c r="F92" s="50"/>
      <c r="I92" s="50"/>
      <c r="N92" s="50"/>
    </row>
    <row r="93" spans="3:32" x14ac:dyDescent="0.25">
      <c r="C93" s="50"/>
      <c r="D93" s="50"/>
      <c r="E93" s="50"/>
      <c r="F93" s="50"/>
      <c r="I93" s="50"/>
      <c r="AF93" s="50"/>
    </row>
    <row r="94" spans="3:32" x14ac:dyDescent="0.25">
      <c r="C94" s="50"/>
      <c r="D94" s="50"/>
      <c r="E94" s="50"/>
      <c r="F94" s="50"/>
      <c r="I94" s="50"/>
    </row>
    <row r="95" spans="3:32" x14ac:dyDescent="0.25">
      <c r="C95" s="50"/>
      <c r="D95" s="50"/>
      <c r="E95" s="50"/>
      <c r="F95" s="51"/>
      <c r="I95" s="51"/>
      <c r="N95" s="50"/>
    </row>
    <row r="96" spans="3:32" x14ac:dyDescent="0.25">
      <c r="C96" s="50"/>
      <c r="D96" s="50"/>
      <c r="E96" s="50"/>
      <c r="F96" s="51"/>
      <c r="I96" s="51"/>
      <c r="AF96" s="50"/>
    </row>
    <row r="97" spans="3:32" x14ac:dyDescent="0.25">
      <c r="C97" s="50"/>
      <c r="D97" s="50"/>
      <c r="E97" s="50"/>
      <c r="F97" s="50"/>
      <c r="I97" s="50"/>
      <c r="N97" s="50"/>
    </row>
    <row r="98" spans="3:32" x14ac:dyDescent="0.25">
      <c r="C98" s="50"/>
      <c r="D98" s="50"/>
      <c r="E98" s="50"/>
      <c r="F98" s="50"/>
      <c r="I98" s="50"/>
      <c r="N98" s="50"/>
      <c r="AF98" s="50"/>
    </row>
    <row r="99" spans="3:32" x14ac:dyDescent="0.25">
      <c r="C99" s="50"/>
      <c r="D99" s="50"/>
      <c r="E99" s="50"/>
      <c r="F99" s="50"/>
      <c r="I99" s="50"/>
    </row>
    <row r="100" spans="3:32" x14ac:dyDescent="0.25">
      <c r="C100" s="50"/>
      <c r="D100" s="50"/>
      <c r="E100" s="50"/>
      <c r="F100" s="51"/>
      <c r="I100" s="51"/>
    </row>
    <row r="101" spans="3:32" x14ac:dyDescent="0.25">
      <c r="C101" s="50"/>
      <c r="D101" s="50"/>
      <c r="E101" s="50"/>
      <c r="F101" s="51"/>
      <c r="I101" s="51"/>
    </row>
    <row r="102" spans="3:32" x14ac:dyDescent="0.25">
      <c r="C102" s="50"/>
      <c r="D102" s="50"/>
      <c r="E102" s="50"/>
      <c r="F102" s="50"/>
      <c r="I102" s="50"/>
    </row>
    <row r="103" spans="3:32" x14ac:dyDescent="0.25">
      <c r="C103" s="50"/>
      <c r="D103" s="50"/>
      <c r="E103" s="50"/>
      <c r="F103" s="50"/>
      <c r="I103" s="50"/>
    </row>
    <row r="104" spans="3:32" x14ac:dyDescent="0.25">
      <c r="C104" s="50"/>
      <c r="D104" s="50"/>
      <c r="E104" s="50"/>
      <c r="F104" s="50"/>
      <c r="I104" s="50"/>
    </row>
    <row r="105" spans="3:32" x14ac:dyDescent="0.25">
      <c r="C105" s="50"/>
      <c r="D105" s="50"/>
      <c r="E105" s="50"/>
      <c r="F105" s="50"/>
      <c r="I105" s="50"/>
    </row>
    <row r="106" spans="3:32" x14ac:dyDescent="0.25">
      <c r="C106" s="50"/>
      <c r="D106" s="50"/>
      <c r="E106" s="79"/>
      <c r="F106" s="50"/>
      <c r="I106" s="50"/>
    </row>
    <row r="107" spans="3:32" x14ac:dyDescent="0.25">
      <c r="C107" s="50"/>
      <c r="D107" s="50"/>
      <c r="E107" s="50"/>
      <c r="F107" s="52"/>
      <c r="I107" s="52"/>
    </row>
    <row r="108" spans="3:32" x14ac:dyDescent="0.25">
      <c r="C108" s="50"/>
      <c r="D108" s="50"/>
      <c r="E108" s="50"/>
      <c r="F108" s="50"/>
      <c r="I108" s="50"/>
    </row>
    <row r="109" spans="3:32" x14ac:dyDescent="0.25">
      <c r="C109" s="50"/>
      <c r="D109" s="50"/>
      <c r="F109" s="50"/>
      <c r="I109" s="50"/>
    </row>
    <row r="110" spans="3:32" x14ac:dyDescent="0.25">
      <c r="C110" s="50"/>
      <c r="D110" s="50"/>
      <c r="E110" s="79"/>
      <c r="F110" s="50"/>
      <c r="I110" s="50"/>
    </row>
    <row r="111" spans="3:32" x14ac:dyDescent="0.25">
      <c r="C111" s="50"/>
      <c r="D111" s="50"/>
      <c r="F111" s="11"/>
      <c r="I111" s="11"/>
    </row>
    <row r="112" spans="3:32" x14ac:dyDescent="0.25">
      <c r="C112" s="50"/>
      <c r="D112" s="50"/>
      <c r="E112" s="50"/>
      <c r="F112" s="50"/>
      <c r="I112" s="50"/>
    </row>
    <row r="113" spans="3:9" x14ac:dyDescent="0.25">
      <c r="C113" s="50"/>
      <c r="D113" s="50"/>
      <c r="E113" s="76"/>
      <c r="F113" s="50"/>
      <c r="I113" s="50"/>
    </row>
    <row r="114" spans="3:9" x14ac:dyDescent="0.25">
      <c r="C114" s="50"/>
      <c r="D114" s="50"/>
      <c r="E114" s="50"/>
      <c r="F114" s="50"/>
      <c r="I114" s="50"/>
    </row>
    <row r="115" spans="3:9" x14ac:dyDescent="0.25">
      <c r="C115" s="50"/>
      <c r="D115" s="50"/>
      <c r="E115" s="50"/>
    </row>
    <row r="116" spans="3:9" x14ac:dyDescent="0.25">
      <c r="C116" s="50"/>
      <c r="D116" s="50"/>
      <c r="E116" s="50"/>
      <c r="F116" s="40"/>
      <c r="I116" s="40"/>
    </row>
    <row r="117" spans="3:9" x14ac:dyDescent="0.25">
      <c r="C117" s="50"/>
      <c r="D117" s="50"/>
      <c r="E117" s="50"/>
      <c r="F117" s="50"/>
      <c r="I117" s="50"/>
    </row>
    <row r="118" spans="3:9" x14ac:dyDescent="0.25">
      <c r="C118" s="50"/>
      <c r="D118" s="50"/>
      <c r="E118" s="50"/>
      <c r="F118" s="50"/>
      <c r="I118" s="50"/>
    </row>
    <row r="119" spans="3:9" x14ac:dyDescent="0.25">
      <c r="C119" s="50"/>
      <c r="D119" s="50"/>
      <c r="E119" s="50"/>
      <c r="F119" s="50"/>
      <c r="I119" s="50"/>
    </row>
    <row r="120" spans="3:9" x14ac:dyDescent="0.25">
      <c r="C120" s="50"/>
      <c r="D120" s="50"/>
      <c r="E120" s="50"/>
      <c r="F120" s="50"/>
      <c r="I120" s="50"/>
    </row>
    <row r="121" spans="3:9" x14ac:dyDescent="0.25">
      <c r="C121" s="50"/>
      <c r="D121" s="50"/>
      <c r="E121" s="50"/>
      <c r="F121" s="50"/>
      <c r="I121" s="50"/>
    </row>
    <row r="122" spans="3:9" x14ac:dyDescent="0.25">
      <c r="C122" s="50"/>
      <c r="D122" s="50"/>
      <c r="E122" s="50"/>
      <c r="F122" s="51"/>
      <c r="I122" s="51"/>
    </row>
    <row r="123" spans="3:9" x14ac:dyDescent="0.25">
      <c r="C123" s="50"/>
      <c r="D123" s="50"/>
      <c r="E123" s="50"/>
      <c r="F123" s="50"/>
      <c r="I123" s="50"/>
    </row>
    <row r="124" spans="3:9" x14ac:dyDescent="0.25">
      <c r="C124" s="50"/>
      <c r="D124" s="50"/>
      <c r="E124" s="50"/>
      <c r="F124" s="50"/>
      <c r="I124" s="50"/>
    </row>
    <row r="125" spans="3:9" x14ac:dyDescent="0.25">
      <c r="C125" s="50"/>
      <c r="D125" s="50"/>
      <c r="E125" s="50"/>
      <c r="F125" s="50"/>
      <c r="I125" s="50"/>
    </row>
    <row r="126" spans="3:9" x14ac:dyDescent="0.25">
      <c r="C126" s="50"/>
      <c r="D126" s="50"/>
      <c r="E126" s="50"/>
      <c r="F126" s="50"/>
      <c r="I126" s="50"/>
    </row>
    <row r="127" spans="3:9" x14ac:dyDescent="0.25">
      <c r="C127" s="50"/>
      <c r="D127" s="50"/>
      <c r="E127" s="50"/>
      <c r="F127" s="50"/>
      <c r="I127" s="50"/>
    </row>
    <row r="128" spans="3:9" x14ac:dyDescent="0.25">
      <c r="C128" s="50"/>
      <c r="D128" s="50"/>
      <c r="E128" s="50"/>
      <c r="F128" s="50"/>
      <c r="I128" s="50"/>
    </row>
    <row r="129" spans="3:9" x14ac:dyDescent="0.25">
      <c r="C129" s="50"/>
      <c r="D129" s="50"/>
      <c r="E129" s="50"/>
      <c r="F129" s="50"/>
      <c r="I129" s="50"/>
    </row>
    <row r="130" spans="3:9" x14ac:dyDescent="0.25">
      <c r="C130" s="50"/>
      <c r="D130" s="50"/>
      <c r="E130" s="50"/>
      <c r="F130" s="50"/>
      <c r="I130" s="50"/>
    </row>
  </sheetData>
  <autoFilter ref="B4:J79" xr:uid="{E1C6A310-08AC-42FF-991D-714474B4158D}">
    <filterColumn colId="2">
      <filters>
        <filter val="LP5086"/>
      </filters>
    </filterColumn>
  </autoFilter>
  <sortState xmlns:xlrd2="http://schemas.microsoft.com/office/spreadsheetml/2017/richdata2" ref="A4:XFD4">
    <sortCondition ref="A4"/>
  </sortState>
  <conditionalFormatting sqref="C4:C78">
    <cfRule type="duplicateValues" dxfId="3036" priority="6324"/>
  </conditionalFormatting>
  <conditionalFormatting sqref="D29">
    <cfRule type="duplicateValues" dxfId="3035" priority="3381"/>
    <cfRule type="duplicateValues" dxfId="3034" priority="3382"/>
    <cfRule type="duplicateValues" dxfId="3033" priority="3405"/>
    <cfRule type="duplicateValues" dxfId="3032" priority="3406"/>
  </conditionalFormatting>
  <conditionalFormatting sqref="D32">
    <cfRule type="duplicateValues" dxfId="3031" priority="540"/>
    <cfRule type="duplicateValues" dxfId="3030" priority="541"/>
  </conditionalFormatting>
  <conditionalFormatting sqref="D40">
    <cfRule type="duplicateValues" dxfId="3029" priority="3493"/>
    <cfRule type="duplicateValues" dxfId="3028" priority="3494"/>
  </conditionalFormatting>
  <conditionalFormatting sqref="D44">
    <cfRule type="duplicateValues" dxfId="3027" priority="544"/>
    <cfRule type="duplicateValues" dxfId="3026" priority="545"/>
  </conditionalFormatting>
  <conditionalFormatting sqref="D46">
    <cfRule type="duplicateValues" dxfId="3025" priority="172"/>
    <cfRule type="duplicateValues" dxfId="3024" priority="173"/>
  </conditionalFormatting>
  <conditionalFormatting sqref="D50">
    <cfRule type="duplicateValues" dxfId="3023" priority="3036"/>
    <cfRule type="duplicateValues" dxfId="3022" priority="3037"/>
  </conditionalFormatting>
  <conditionalFormatting sqref="D54:D60 D62:D79 D4:D31 D51:D52 D45 D33:D43 D47:D49">
    <cfRule type="duplicateValues" dxfId="3021" priority="6319"/>
  </conditionalFormatting>
  <conditionalFormatting sqref="D61">
    <cfRule type="duplicateValues" dxfId="3020" priority="3119"/>
    <cfRule type="duplicateValues" dxfId="3019" priority="3120"/>
  </conditionalFormatting>
  <conditionalFormatting sqref="D67">
    <cfRule type="duplicateValues" dxfId="3018" priority="3379"/>
    <cfRule type="duplicateValues" dxfId="3017" priority="3380"/>
  </conditionalFormatting>
  <conditionalFormatting sqref="E5">
    <cfRule type="duplicateValues" dxfId="3016" priority="3140"/>
    <cfRule type="duplicateValues" dxfId="3015" priority="3141"/>
    <cfRule type="duplicateValues" dxfId="3014" priority="3142"/>
  </conditionalFormatting>
  <conditionalFormatting sqref="E6">
    <cfRule type="duplicateValues" dxfId="3013" priority="3514"/>
    <cfRule type="duplicateValues" dxfId="3012" priority="3515"/>
    <cfRule type="duplicateValues" dxfId="3011" priority="3516"/>
    <cfRule type="duplicateValues" dxfId="3010" priority="3517"/>
    <cfRule type="duplicateValues" dxfId="3009" priority="3518"/>
    <cfRule type="duplicateValues" dxfId="3008" priority="3519"/>
    <cfRule type="duplicateValues" dxfId="3007" priority="3520"/>
    <cfRule type="duplicateValues" dxfId="3006" priority="3521"/>
    <cfRule type="duplicateValues" dxfId="3005" priority="3522"/>
    <cfRule type="duplicateValues" dxfId="3004" priority="3523"/>
    <cfRule type="duplicateValues" dxfId="3003" priority="3524"/>
    <cfRule type="duplicateValues" dxfId="3002" priority="3525"/>
    <cfRule type="duplicateValues" dxfId="3001" priority="3526"/>
    <cfRule type="duplicateValues" dxfId="3000" priority="3527"/>
    <cfRule type="duplicateValues" dxfId="2999" priority="3528"/>
    <cfRule type="duplicateValues" dxfId="2998" priority="3529"/>
    <cfRule type="duplicateValues" dxfId="2997" priority="3530"/>
    <cfRule type="duplicateValues" dxfId="2996" priority="3531"/>
    <cfRule type="duplicateValues" dxfId="2995" priority="3532"/>
    <cfRule type="duplicateValues" dxfId="2994" priority="3533"/>
    <cfRule type="duplicateValues" dxfId="2993" priority="3534"/>
    <cfRule type="duplicateValues" dxfId="2992" priority="3535"/>
    <cfRule type="duplicateValues" dxfId="2991" priority="3536"/>
    <cfRule type="duplicateValues" dxfId="2990" priority="3537"/>
    <cfRule type="duplicateValues" dxfId="2989" priority="3538"/>
    <cfRule type="duplicateValues" dxfId="2988" priority="3539"/>
    <cfRule type="duplicateValues" dxfId="2987" priority="3540"/>
    <cfRule type="duplicateValues" dxfId="2986" priority="3541"/>
    <cfRule type="duplicateValues" dxfId="2985" priority="3542"/>
    <cfRule type="duplicateValues" dxfId="2984" priority="3543"/>
    <cfRule type="duplicateValues" dxfId="2983" priority="3544"/>
    <cfRule type="duplicateValues" dxfId="2982" priority="3545"/>
    <cfRule type="duplicateValues" dxfId="2981" priority="3546"/>
    <cfRule type="duplicateValues" dxfId="2980" priority="3547"/>
    <cfRule type="duplicateValues" dxfId="2979" priority="3548"/>
    <cfRule type="duplicateValues" dxfId="2978" priority="3549"/>
  </conditionalFormatting>
  <conditionalFormatting sqref="E7">
    <cfRule type="duplicateValues" dxfId="2977" priority="3471"/>
    <cfRule type="duplicateValues" dxfId="2976" priority="3472"/>
    <cfRule type="duplicateValues" dxfId="2975" priority="3473"/>
    <cfRule type="duplicateValues" dxfId="2974" priority="3474"/>
    <cfRule type="duplicateValues" dxfId="2973" priority="3475"/>
    <cfRule type="duplicateValues" dxfId="2972" priority="3476"/>
    <cfRule type="duplicateValues" dxfId="2971" priority="3477"/>
    <cfRule type="duplicateValues" dxfId="2970" priority="3478"/>
    <cfRule type="duplicateValues" dxfId="2969" priority="3479"/>
    <cfRule type="duplicateValues" dxfId="2968" priority="3480"/>
    <cfRule type="duplicateValues" dxfId="2967" priority="3481"/>
    <cfRule type="duplicateValues" dxfId="2966" priority="3482"/>
    <cfRule type="duplicateValues" dxfId="2965" priority="3483"/>
    <cfRule type="duplicateValues" dxfId="2964" priority="3484"/>
    <cfRule type="duplicateValues" dxfId="2963" priority="3485"/>
    <cfRule type="duplicateValues" dxfId="2962" priority="3486"/>
    <cfRule type="duplicateValues" dxfId="2961" priority="3487"/>
    <cfRule type="duplicateValues" dxfId="2960" priority="3488"/>
    <cfRule type="duplicateValues" dxfId="2959" priority="3489"/>
    <cfRule type="duplicateValues" dxfId="2958" priority="3490"/>
  </conditionalFormatting>
  <conditionalFormatting sqref="E8">
    <cfRule type="duplicateValues" dxfId="2957" priority="5"/>
    <cfRule type="duplicateValues" dxfId="2956" priority="6"/>
    <cfRule type="duplicateValues" dxfId="2955" priority="7"/>
    <cfRule type="duplicateValues" dxfId="2954" priority="8"/>
    <cfRule type="duplicateValues" dxfId="2953" priority="9"/>
    <cfRule type="duplicateValues" dxfId="2952" priority="10"/>
    <cfRule type="duplicateValues" dxfId="2951" priority="11"/>
    <cfRule type="duplicateValues" dxfId="2950" priority="12"/>
    <cfRule type="duplicateValues" dxfId="2949" priority="13"/>
    <cfRule type="duplicateValues" dxfId="2948" priority="14"/>
    <cfRule type="duplicateValues" dxfId="2947" priority="15"/>
    <cfRule type="duplicateValues" dxfId="2946" priority="16"/>
    <cfRule type="duplicateValues" dxfId="2945" priority="17"/>
    <cfRule type="duplicateValues" dxfId="2944" priority="18"/>
    <cfRule type="duplicateValues" dxfId="2943" priority="19"/>
    <cfRule type="duplicateValues" dxfId="2942" priority="20"/>
    <cfRule type="duplicateValues" dxfId="2941" priority="21"/>
    <cfRule type="duplicateValues" dxfId="2940" priority="22"/>
    <cfRule type="duplicateValues" dxfId="2939" priority="23"/>
    <cfRule type="duplicateValues" dxfId="2938" priority="24"/>
    <cfRule type="duplicateValues" dxfId="2937" priority="25"/>
    <cfRule type="duplicateValues" dxfId="2936" priority="26"/>
    <cfRule type="duplicateValues" dxfId="2935" priority="27"/>
    <cfRule type="duplicateValues" dxfId="2934" priority="28"/>
    <cfRule type="duplicateValues" dxfId="2933" priority="29"/>
    <cfRule type="duplicateValues" dxfId="2932" priority="30"/>
    <cfRule type="duplicateValues" dxfId="2931" priority="31"/>
    <cfRule type="duplicateValues" dxfId="2930" priority="32"/>
    <cfRule type="duplicateValues" dxfId="2929" priority="33"/>
    <cfRule type="duplicateValues" dxfId="2928" priority="34"/>
    <cfRule type="duplicateValues" dxfId="2927" priority="35"/>
    <cfRule type="duplicateValues" dxfId="2926" priority="36"/>
    <cfRule type="duplicateValues" dxfId="2925" priority="37"/>
    <cfRule type="duplicateValues" dxfId="2924" priority="38"/>
    <cfRule type="duplicateValues" dxfId="2923" priority="39"/>
  </conditionalFormatting>
  <conditionalFormatting sqref="E9">
    <cfRule type="duplicateValues" dxfId="2922" priority="3495"/>
    <cfRule type="duplicateValues" dxfId="2921" priority="3496"/>
    <cfRule type="duplicateValues" dxfId="2920" priority="3497"/>
    <cfRule type="duplicateValues" dxfId="2919" priority="3498"/>
    <cfRule type="duplicateValues" dxfId="2918" priority="3499"/>
    <cfRule type="duplicateValues" dxfId="2917" priority="3500"/>
    <cfRule type="duplicateValues" dxfId="2916" priority="3501"/>
    <cfRule type="duplicateValues" dxfId="2915" priority="3502"/>
    <cfRule type="duplicateValues" dxfId="2914" priority="3503"/>
    <cfRule type="duplicateValues" dxfId="2913" priority="3504"/>
    <cfRule type="duplicateValues" dxfId="2912" priority="3505"/>
    <cfRule type="duplicateValues" dxfId="2911" priority="3506"/>
  </conditionalFormatting>
  <conditionalFormatting sqref="E10">
    <cfRule type="duplicateValues" dxfId="2910" priority="3434"/>
    <cfRule type="duplicateValues" dxfId="2909" priority="3435"/>
    <cfRule type="duplicateValues" dxfId="2908" priority="3436"/>
    <cfRule type="duplicateValues" dxfId="2907" priority="3437"/>
    <cfRule type="duplicateValues" dxfId="2906" priority="3438"/>
    <cfRule type="duplicateValues" dxfId="2905" priority="3439"/>
    <cfRule type="duplicateValues" dxfId="2904" priority="3440"/>
    <cfRule type="duplicateValues" dxfId="2903" priority="3441"/>
    <cfRule type="duplicateValues" dxfId="2902" priority="3442"/>
    <cfRule type="duplicateValues" dxfId="2901" priority="3443"/>
    <cfRule type="duplicateValues" dxfId="2900" priority="3444"/>
    <cfRule type="duplicateValues" dxfId="2899" priority="3445"/>
    <cfRule type="duplicateValues" dxfId="2898" priority="3446"/>
    <cfRule type="duplicateValues" dxfId="2897" priority="3447"/>
    <cfRule type="duplicateValues" dxfId="2896" priority="3448"/>
    <cfRule type="duplicateValues" dxfId="2895" priority="3449"/>
    <cfRule type="duplicateValues" dxfId="2894" priority="3450"/>
    <cfRule type="duplicateValues" dxfId="2893" priority="3451"/>
    <cfRule type="duplicateValues" dxfId="2892" priority="3452"/>
    <cfRule type="duplicateValues" dxfId="2891" priority="3453"/>
    <cfRule type="duplicateValues" dxfId="2890" priority="3454"/>
  </conditionalFormatting>
  <conditionalFormatting sqref="E11">
    <cfRule type="duplicateValues" dxfId="2889" priority="3801"/>
    <cfRule type="duplicateValues" dxfId="2888" priority="3802"/>
  </conditionalFormatting>
  <conditionalFormatting sqref="E12">
    <cfRule type="duplicateValues" dxfId="2887" priority="3679"/>
    <cfRule type="duplicateValues" dxfId="2886" priority="3680"/>
    <cfRule type="duplicateValues" dxfId="2885" priority="3681"/>
    <cfRule type="duplicateValues" dxfId="2884" priority="3682"/>
    <cfRule type="duplicateValues" dxfId="2883" priority="3683"/>
    <cfRule type="duplicateValues" dxfId="2882" priority="3684"/>
    <cfRule type="duplicateValues" dxfId="2881" priority="3685"/>
    <cfRule type="duplicateValues" dxfId="2880" priority="3686"/>
    <cfRule type="duplicateValues" dxfId="2879" priority="3687"/>
    <cfRule type="duplicateValues" dxfId="2878" priority="3688"/>
  </conditionalFormatting>
  <conditionalFormatting sqref="E13">
    <cfRule type="duplicateValues" dxfId="2877" priority="3088"/>
    <cfRule type="duplicateValues" dxfId="2876" priority="3089"/>
    <cfRule type="duplicateValues" dxfId="2875" priority="3090"/>
  </conditionalFormatting>
  <conditionalFormatting sqref="E14">
    <cfRule type="duplicateValues" dxfId="2874" priority="3788"/>
  </conditionalFormatting>
  <conditionalFormatting sqref="E15">
    <cfRule type="duplicateValues" dxfId="2873" priority="3509"/>
    <cfRule type="duplicateValues" dxfId="2872" priority="3510"/>
    <cfRule type="duplicateValues" dxfId="2871" priority="3511"/>
    <cfRule type="duplicateValues" dxfId="2870" priority="3512"/>
    <cfRule type="duplicateValues" dxfId="2869" priority="3513"/>
  </conditionalFormatting>
  <conditionalFormatting sqref="E16">
    <cfRule type="duplicateValues" dxfId="2868" priority="3695"/>
    <cfRule type="duplicateValues" dxfId="2867" priority="3696"/>
    <cfRule type="duplicateValues" dxfId="2866" priority="3697"/>
    <cfRule type="duplicateValues" dxfId="2865" priority="3698"/>
  </conditionalFormatting>
  <conditionalFormatting sqref="E17">
    <cfRule type="duplicateValues" dxfId="2864" priority="3719"/>
    <cfRule type="duplicateValues" dxfId="2863" priority="3720"/>
  </conditionalFormatting>
  <conditionalFormatting sqref="E18">
    <cfRule type="duplicateValues" dxfId="2862" priority="3626"/>
    <cfRule type="duplicateValues" dxfId="2861" priority="3627"/>
    <cfRule type="duplicateValues" dxfId="2860" priority="3628"/>
    <cfRule type="duplicateValues" dxfId="2859" priority="3629"/>
    <cfRule type="duplicateValues" dxfId="2858" priority="3630"/>
    <cfRule type="duplicateValues" dxfId="2857" priority="3631"/>
    <cfRule type="duplicateValues" dxfId="2856" priority="3632"/>
    <cfRule type="duplicateValues" dxfId="2855" priority="3633"/>
    <cfRule type="duplicateValues" dxfId="2854" priority="3634"/>
    <cfRule type="duplicateValues" dxfId="2853" priority="3635"/>
    <cfRule type="duplicateValues" dxfId="2852" priority="3636"/>
    <cfRule type="duplicateValues" dxfId="2851" priority="3637"/>
    <cfRule type="duplicateValues" dxfId="2850" priority="3638"/>
    <cfRule type="duplicateValues" dxfId="2849" priority="3639"/>
    <cfRule type="duplicateValues" dxfId="2848" priority="3640"/>
    <cfRule type="duplicateValues" dxfId="2847" priority="3641"/>
    <cfRule type="duplicateValues" dxfId="2846" priority="3642"/>
    <cfRule type="duplicateValues" dxfId="2845" priority="3643"/>
  </conditionalFormatting>
  <conditionalFormatting sqref="E20">
    <cfRule type="duplicateValues" dxfId="2844" priority="3349"/>
    <cfRule type="duplicateValues" dxfId="2843" priority="3350"/>
    <cfRule type="duplicateValues" dxfId="2842" priority="3351"/>
    <cfRule type="duplicateValues" dxfId="2841" priority="3352"/>
    <cfRule type="duplicateValues" dxfId="2840" priority="3353"/>
    <cfRule type="duplicateValues" dxfId="2839" priority="3354"/>
    <cfRule type="duplicateValues" dxfId="2838" priority="3355"/>
    <cfRule type="duplicateValues" dxfId="2837" priority="3356"/>
    <cfRule type="duplicateValues" dxfId="2836" priority="3357"/>
    <cfRule type="duplicateValues" dxfId="2835" priority="3358"/>
    <cfRule type="duplicateValues" dxfId="2834" priority="3359"/>
    <cfRule type="duplicateValues" dxfId="2833" priority="3360"/>
    <cfRule type="duplicateValues" dxfId="2832" priority="3361"/>
    <cfRule type="duplicateValues" dxfId="2831" priority="3362"/>
    <cfRule type="duplicateValues" dxfId="2830" priority="3363"/>
    <cfRule type="duplicateValues" dxfId="2829" priority="3364"/>
    <cfRule type="duplicateValues" dxfId="2828" priority="3365"/>
  </conditionalFormatting>
  <conditionalFormatting sqref="E21">
    <cfRule type="duplicateValues" dxfId="2827" priority="3421"/>
    <cfRule type="duplicateValues" dxfId="2826" priority="3422"/>
    <cfRule type="duplicateValues" dxfId="2825" priority="3423"/>
    <cfRule type="duplicateValues" dxfId="2824" priority="3424"/>
  </conditionalFormatting>
  <conditionalFormatting sqref="E22">
    <cfRule type="duplicateValues" dxfId="2823" priority="3751"/>
    <cfRule type="duplicateValues" dxfId="2822" priority="3752"/>
    <cfRule type="duplicateValues" dxfId="2821" priority="3753"/>
    <cfRule type="duplicateValues" dxfId="2820" priority="3754"/>
    <cfRule type="duplicateValues" dxfId="2819" priority="3755"/>
    <cfRule type="duplicateValues" dxfId="2818" priority="3756"/>
  </conditionalFormatting>
  <conditionalFormatting sqref="E23">
    <cfRule type="duplicateValues" dxfId="2817" priority="3644"/>
    <cfRule type="duplicateValues" dxfId="2816" priority="3645"/>
    <cfRule type="duplicateValues" dxfId="2815" priority="3646"/>
    <cfRule type="duplicateValues" dxfId="2814" priority="3647"/>
    <cfRule type="duplicateValues" dxfId="2813" priority="3648"/>
    <cfRule type="duplicateValues" dxfId="2812" priority="3649"/>
    <cfRule type="duplicateValues" dxfId="2811" priority="3650"/>
    <cfRule type="duplicateValues" dxfId="2810" priority="3651"/>
    <cfRule type="duplicateValues" dxfId="2809" priority="3652"/>
    <cfRule type="duplicateValues" dxfId="2808" priority="3653"/>
    <cfRule type="duplicateValues" dxfId="2807" priority="3654"/>
    <cfRule type="duplicateValues" dxfId="2806" priority="3655"/>
    <cfRule type="duplicateValues" dxfId="2805" priority="3656"/>
    <cfRule type="duplicateValues" dxfId="2804" priority="3657"/>
    <cfRule type="duplicateValues" dxfId="2803" priority="3658"/>
    <cfRule type="duplicateValues" dxfId="2802" priority="3659"/>
    <cfRule type="duplicateValues" dxfId="2801" priority="3660"/>
  </conditionalFormatting>
  <conditionalFormatting sqref="E24">
    <cfRule type="duplicateValues" dxfId="2800" priority="3805"/>
    <cfRule type="duplicateValues" dxfId="2799" priority="3806"/>
  </conditionalFormatting>
  <conditionalFormatting sqref="E25">
    <cfRule type="duplicateValues" dxfId="2798" priority="3375"/>
    <cfRule type="duplicateValues" dxfId="2797" priority="3376"/>
    <cfRule type="duplicateValues" dxfId="2796" priority="3377"/>
    <cfRule type="duplicateValues" dxfId="2795" priority="3378"/>
  </conditionalFormatting>
  <conditionalFormatting sqref="E26">
    <cfRule type="duplicateValues" dxfId="2794" priority="2265"/>
    <cfRule type="duplicateValues" dxfId="2793" priority="2266"/>
    <cfRule type="duplicateValues" dxfId="2792" priority="2267"/>
  </conditionalFormatting>
  <conditionalFormatting sqref="E27">
    <cfRule type="duplicateValues" dxfId="2791" priority="3388"/>
    <cfRule type="duplicateValues" dxfId="2790" priority="3389"/>
    <cfRule type="duplicateValues" dxfId="2789" priority="3390"/>
    <cfRule type="duplicateValues" dxfId="2788" priority="3391"/>
    <cfRule type="duplicateValues" dxfId="2787" priority="3392"/>
    <cfRule type="duplicateValues" dxfId="2786" priority="3393"/>
    <cfRule type="duplicateValues" dxfId="2785" priority="3394"/>
    <cfRule type="duplicateValues" dxfId="2784" priority="3395"/>
    <cfRule type="duplicateValues" dxfId="2783" priority="3396"/>
    <cfRule type="duplicateValues" dxfId="2782" priority="3397"/>
    <cfRule type="duplicateValues" dxfId="2781" priority="3398"/>
    <cfRule type="duplicateValues" dxfId="2780" priority="3661"/>
    <cfRule type="duplicateValues" dxfId="2779" priority="3662"/>
    <cfRule type="duplicateValues" dxfId="2778" priority="3663"/>
    <cfRule type="duplicateValues" dxfId="2777" priority="3664"/>
    <cfRule type="duplicateValues" dxfId="2776" priority="3665"/>
    <cfRule type="duplicateValues" dxfId="2775" priority="3666"/>
    <cfRule type="duplicateValues" dxfId="2774" priority="3667"/>
    <cfRule type="duplicateValues" dxfId="2773" priority="3668"/>
    <cfRule type="duplicateValues" dxfId="2772" priority="3669"/>
  </conditionalFormatting>
  <conditionalFormatting sqref="E28">
    <cfRule type="duplicateValues" dxfId="2771" priority="3091"/>
    <cfRule type="duplicateValues" dxfId="2770" priority="3092"/>
    <cfRule type="duplicateValues" dxfId="2769" priority="3093"/>
    <cfRule type="duplicateValues" dxfId="2768" priority="3094"/>
    <cfRule type="duplicateValues" dxfId="2767" priority="3095"/>
    <cfRule type="duplicateValues" dxfId="2766" priority="3096"/>
  </conditionalFormatting>
  <conditionalFormatting sqref="E29">
    <cfRule type="duplicateValues" dxfId="2765" priority="3399"/>
    <cfRule type="duplicateValues" dxfId="2764" priority="3400"/>
    <cfRule type="duplicateValues" dxfId="2763" priority="3401"/>
    <cfRule type="duplicateValues" dxfId="2762" priority="3402"/>
    <cfRule type="duplicateValues" dxfId="2761" priority="3403"/>
    <cfRule type="duplicateValues" dxfId="2760" priority="3404"/>
  </conditionalFormatting>
  <conditionalFormatting sqref="E30">
    <cfRule type="duplicateValues" dxfId="2759" priority="3797"/>
    <cfRule type="duplicateValues" dxfId="2758" priority="3798"/>
  </conditionalFormatting>
  <conditionalFormatting sqref="E31">
    <cfRule type="duplicateValues" dxfId="2757" priority="3455"/>
    <cfRule type="duplicateValues" dxfId="2756" priority="3456"/>
    <cfRule type="duplicateValues" dxfId="2755" priority="3457"/>
    <cfRule type="duplicateValues" dxfId="2754" priority="3458"/>
  </conditionalFormatting>
  <conditionalFormatting sqref="E32">
    <cfRule type="duplicateValues" dxfId="2753" priority="3425"/>
    <cfRule type="duplicateValues" dxfId="2752" priority="3426"/>
    <cfRule type="duplicateValues" dxfId="2751" priority="3427"/>
    <cfRule type="duplicateValues" dxfId="2750" priority="3428"/>
    <cfRule type="duplicateValues" dxfId="2749" priority="3429"/>
    <cfRule type="duplicateValues" dxfId="2748" priority="3430"/>
    <cfRule type="duplicateValues" dxfId="2747" priority="3431"/>
    <cfRule type="duplicateValues" dxfId="2746" priority="3432"/>
    <cfRule type="duplicateValues" dxfId="2745" priority="3433"/>
  </conditionalFormatting>
  <conditionalFormatting sqref="E33">
    <cfRule type="duplicateValues" dxfId="2744" priority="3412"/>
    <cfRule type="duplicateValues" dxfId="2743" priority="3413"/>
    <cfRule type="duplicateValues" dxfId="2742" priority="3414"/>
    <cfRule type="duplicateValues" dxfId="2741" priority="3415"/>
    <cfRule type="duplicateValues" dxfId="2740" priority="3416"/>
    <cfRule type="duplicateValues" dxfId="2739" priority="3417"/>
    <cfRule type="duplicateValues" dxfId="2738" priority="3418"/>
    <cfRule type="duplicateValues" dxfId="2737" priority="3419"/>
    <cfRule type="duplicateValues" dxfId="2736" priority="3420"/>
  </conditionalFormatting>
  <conditionalFormatting sqref="E34">
    <cfRule type="duplicateValues" dxfId="2735" priority="3296"/>
    <cfRule type="duplicateValues" dxfId="2734" priority="3297"/>
    <cfRule type="duplicateValues" dxfId="2733" priority="3298"/>
    <cfRule type="duplicateValues" dxfId="2732" priority="3299"/>
    <cfRule type="duplicateValues" dxfId="2731" priority="3300"/>
    <cfRule type="duplicateValues" dxfId="2730" priority="3301"/>
    <cfRule type="duplicateValues" dxfId="2729" priority="3302"/>
    <cfRule type="duplicateValues" dxfId="2728" priority="3303"/>
    <cfRule type="duplicateValues" dxfId="2727" priority="3304"/>
    <cfRule type="duplicateValues" dxfId="2726" priority="3305"/>
    <cfRule type="duplicateValues" dxfId="2725" priority="3306"/>
    <cfRule type="duplicateValues" dxfId="2724" priority="3307"/>
    <cfRule type="duplicateValues" dxfId="2723" priority="3308"/>
    <cfRule type="duplicateValues" dxfId="2722" priority="3309"/>
    <cfRule type="duplicateValues" dxfId="2721" priority="3310"/>
    <cfRule type="duplicateValues" dxfId="2720" priority="3311"/>
    <cfRule type="duplicateValues" dxfId="2719" priority="3312"/>
    <cfRule type="duplicateValues" dxfId="2718" priority="3313"/>
    <cfRule type="duplicateValues" dxfId="2717" priority="3314"/>
    <cfRule type="duplicateValues" dxfId="2716" priority="3315"/>
    <cfRule type="duplicateValues" dxfId="2715" priority="3316"/>
    <cfRule type="duplicateValues" dxfId="2714" priority="3317"/>
    <cfRule type="duplicateValues" dxfId="2713" priority="3318"/>
    <cfRule type="duplicateValues" dxfId="2712" priority="3319"/>
    <cfRule type="duplicateValues" dxfId="2711" priority="3320"/>
    <cfRule type="duplicateValues" dxfId="2710" priority="3321"/>
    <cfRule type="duplicateValues" dxfId="2709" priority="3322"/>
    <cfRule type="duplicateValues" dxfId="2708" priority="3323"/>
    <cfRule type="duplicateValues" dxfId="2707" priority="3324"/>
    <cfRule type="duplicateValues" dxfId="2706" priority="3325"/>
    <cfRule type="duplicateValues" dxfId="2705" priority="3326"/>
    <cfRule type="duplicateValues" dxfId="2704" priority="3327"/>
    <cfRule type="duplicateValues" dxfId="2703" priority="3328"/>
    <cfRule type="duplicateValues" dxfId="2702" priority="3329"/>
    <cfRule type="duplicateValues" dxfId="2701" priority="3330"/>
    <cfRule type="duplicateValues" dxfId="2700" priority="3331"/>
    <cfRule type="duplicateValues" dxfId="2699" priority="3332"/>
    <cfRule type="duplicateValues" dxfId="2698" priority="3333"/>
    <cfRule type="duplicateValues" dxfId="2697" priority="3334"/>
    <cfRule type="duplicateValues" dxfId="2696" priority="3335"/>
  </conditionalFormatting>
  <conditionalFormatting sqref="E35">
    <cfRule type="duplicateValues" dxfId="2695" priority="3799"/>
    <cfRule type="duplicateValues" dxfId="2694" priority="3800"/>
  </conditionalFormatting>
  <conditionalFormatting sqref="E36:E37">
    <cfRule type="duplicateValues" dxfId="2693" priority="3289"/>
    <cfRule type="duplicateValues" dxfId="2692" priority="3290"/>
    <cfRule type="duplicateValues" dxfId="2691" priority="3291"/>
    <cfRule type="duplicateValues" dxfId="2690" priority="3292"/>
    <cfRule type="duplicateValues" dxfId="2689" priority="3293"/>
    <cfRule type="duplicateValues" dxfId="2688" priority="3294"/>
    <cfRule type="duplicateValues" dxfId="2687" priority="3295"/>
  </conditionalFormatting>
  <conditionalFormatting sqref="E38">
    <cfRule type="duplicateValues" dxfId="2686" priority="3707"/>
    <cfRule type="duplicateValues" dxfId="2685" priority="3708"/>
    <cfRule type="duplicateValues" dxfId="2684" priority="3709"/>
    <cfRule type="duplicateValues" dxfId="2683" priority="3710"/>
    <cfRule type="duplicateValues" dxfId="2682" priority="3711"/>
    <cfRule type="duplicateValues" dxfId="2681" priority="3712"/>
    <cfRule type="duplicateValues" dxfId="2680" priority="3713"/>
    <cfRule type="duplicateValues" dxfId="2679" priority="3714"/>
    <cfRule type="duplicateValues" dxfId="2678" priority="3715"/>
    <cfRule type="duplicateValues" dxfId="2677" priority="3716"/>
    <cfRule type="duplicateValues" dxfId="2676" priority="3717"/>
    <cfRule type="duplicateValues" dxfId="2675" priority="3718"/>
  </conditionalFormatting>
  <conditionalFormatting sqref="E39">
    <cfRule type="duplicateValues" dxfId="2674" priority="3144"/>
    <cfRule type="duplicateValues" dxfId="2673" priority="3145"/>
    <cfRule type="duplicateValues" dxfId="2672" priority="3146"/>
    <cfRule type="duplicateValues" dxfId="2671" priority="3147"/>
  </conditionalFormatting>
  <conditionalFormatting sqref="E40">
    <cfRule type="duplicateValues" dxfId="2670" priority="3057"/>
    <cfRule type="duplicateValues" dxfId="2669" priority="3058"/>
    <cfRule type="duplicateValues" dxfId="2668" priority="3059"/>
    <cfRule type="duplicateValues" dxfId="2667" priority="3060"/>
    <cfRule type="duplicateValues" dxfId="2666" priority="3061"/>
    <cfRule type="duplicateValues" dxfId="2665" priority="3062"/>
    <cfRule type="duplicateValues" dxfId="2664" priority="3063"/>
    <cfRule type="duplicateValues" dxfId="2663" priority="3064"/>
    <cfRule type="duplicateValues" dxfId="2662" priority="3065"/>
    <cfRule type="duplicateValues" dxfId="2661" priority="3066"/>
    <cfRule type="duplicateValues" dxfId="2660" priority="3067"/>
    <cfRule type="duplicateValues" dxfId="2659" priority="3068"/>
    <cfRule type="duplicateValues" dxfId="2658" priority="3069"/>
  </conditionalFormatting>
  <conditionalFormatting sqref="E41">
    <cfRule type="duplicateValues" dxfId="2657" priority="3598"/>
    <cfRule type="duplicateValues" dxfId="2656" priority="3599"/>
    <cfRule type="duplicateValues" dxfId="2655" priority="3600"/>
    <cfRule type="duplicateValues" dxfId="2654" priority="3601"/>
    <cfRule type="duplicateValues" dxfId="2653" priority="3602"/>
    <cfRule type="duplicateValues" dxfId="2652" priority="3603"/>
    <cfRule type="duplicateValues" dxfId="2651" priority="3604"/>
    <cfRule type="duplicateValues" dxfId="2650" priority="3605"/>
    <cfRule type="duplicateValues" dxfId="2649" priority="3606"/>
    <cfRule type="duplicateValues" dxfId="2648" priority="3607"/>
    <cfRule type="duplicateValues" dxfId="2647" priority="3608"/>
    <cfRule type="duplicateValues" dxfId="2646" priority="3609"/>
    <cfRule type="duplicateValues" dxfId="2645" priority="3610"/>
    <cfRule type="duplicateValues" dxfId="2644" priority="3611"/>
    <cfRule type="duplicateValues" dxfId="2643" priority="3612"/>
    <cfRule type="duplicateValues" dxfId="2642" priority="3613"/>
    <cfRule type="duplicateValues" dxfId="2641" priority="3614"/>
    <cfRule type="duplicateValues" dxfId="2640" priority="3615"/>
    <cfRule type="duplicateValues" dxfId="2639" priority="3616"/>
    <cfRule type="duplicateValues" dxfId="2638" priority="3617"/>
    <cfRule type="duplicateValues" dxfId="2637" priority="3618"/>
    <cfRule type="duplicateValues" dxfId="2636" priority="3619"/>
    <cfRule type="duplicateValues" dxfId="2635" priority="3620"/>
    <cfRule type="duplicateValues" dxfId="2634" priority="3621"/>
    <cfRule type="duplicateValues" dxfId="2633" priority="3622"/>
    <cfRule type="duplicateValues" dxfId="2632" priority="3623"/>
    <cfRule type="duplicateValues" dxfId="2631" priority="3624"/>
    <cfRule type="duplicateValues" dxfId="2630" priority="3625"/>
  </conditionalFormatting>
  <conditionalFormatting sqref="E42">
    <cfRule type="duplicateValues" dxfId="2629" priority="3383"/>
    <cfRule type="duplicateValues" dxfId="2628" priority="3384"/>
    <cfRule type="duplicateValues" dxfId="2627" priority="3385"/>
    <cfRule type="duplicateValues" dxfId="2626" priority="3386"/>
    <cfRule type="duplicateValues" dxfId="2625" priority="3387"/>
  </conditionalFormatting>
  <conditionalFormatting sqref="E43">
    <cfRule type="duplicateValues" dxfId="2624" priority="3211"/>
    <cfRule type="duplicateValues" dxfId="2623" priority="3212"/>
    <cfRule type="duplicateValues" dxfId="2622" priority="3213"/>
    <cfRule type="duplicateValues" dxfId="2621" priority="3214"/>
    <cfRule type="duplicateValues" dxfId="2620" priority="3215"/>
    <cfRule type="duplicateValues" dxfId="2619" priority="3216"/>
    <cfRule type="duplicateValues" dxfId="2618" priority="3217"/>
    <cfRule type="duplicateValues" dxfId="2617" priority="3218"/>
    <cfRule type="duplicateValues" dxfId="2616" priority="3219"/>
    <cfRule type="duplicateValues" dxfId="2615" priority="3220"/>
    <cfRule type="duplicateValues" dxfId="2614" priority="3221"/>
    <cfRule type="duplicateValues" dxfId="2613" priority="3222"/>
    <cfRule type="duplicateValues" dxfId="2612" priority="3223"/>
    <cfRule type="duplicateValues" dxfId="2611" priority="3224"/>
    <cfRule type="duplicateValues" dxfId="2610" priority="3225"/>
    <cfRule type="duplicateValues" dxfId="2609" priority="3226"/>
    <cfRule type="duplicateValues" dxfId="2608" priority="3227"/>
    <cfRule type="duplicateValues" dxfId="2607" priority="3228"/>
    <cfRule type="duplicateValues" dxfId="2606" priority="3229"/>
    <cfRule type="duplicateValues" dxfId="2605" priority="3230"/>
    <cfRule type="duplicateValues" dxfId="2604" priority="3231"/>
    <cfRule type="duplicateValues" dxfId="2603" priority="3232"/>
  </conditionalFormatting>
  <conditionalFormatting sqref="E44">
    <cfRule type="duplicateValues" dxfId="2602" priority="578"/>
    <cfRule type="duplicateValues" dxfId="2601" priority="579"/>
    <cfRule type="duplicateValues" dxfId="2600" priority="580"/>
    <cfRule type="duplicateValues" dxfId="2599" priority="581"/>
    <cfRule type="duplicateValues" dxfId="2598" priority="582"/>
    <cfRule type="duplicateValues" dxfId="2597" priority="583"/>
    <cfRule type="duplicateValues" dxfId="2596" priority="584"/>
    <cfRule type="duplicateValues" dxfId="2595" priority="585"/>
    <cfRule type="duplicateValues" dxfId="2594" priority="586"/>
    <cfRule type="duplicateValues" dxfId="2593" priority="587"/>
    <cfRule type="duplicateValues" dxfId="2592" priority="588"/>
    <cfRule type="duplicateValues" dxfId="2591" priority="589"/>
    <cfRule type="duplicateValues" dxfId="2590" priority="590"/>
    <cfRule type="duplicateValues" dxfId="2589" priority="591"/>
    <cfRule type="duplicateValues" dxfId="2588" priority="592"/>
    <cfRule type="duplicateValues" dxfId="2587" priority="593"/>
    <cfRule type="duplicateValues" dxfId="2586" priority="594"/>
    <cfRule type="duplicateValues" dxfId="2585" priority="595"/>
    <cfRule type="duplicateValues" dxfId="2584" priority="596"/>
    <cfRule type="duplicateValues" dxfId="2583" priority="597"/>
    <cfRule type="duplicateValues" dxfId="2582" priority="598"/>
    <cfRule type="duplicateValues" dxfId="2581" priority="599"/>
    <cfRule type="duplicateValues" dxfId="2580" priority="600"/>
    <cfRule type="duplicateValues" dxfId="2579" priority="601"/>
    <cfRule type="duplicateValues" dxfId="2578" priority="602"/>
    <cfRule type="duplicateValues" dxfId="2577" priority="603"/>
    <cfRule type="duplicateValues" dxfId="2576" priority="604"/>
    <cfRule type="duplicateValues" dxfId="2575" priority="605"/>
    <cfRule type="duplicateValues" dxfId="2574" priority="606"/>
    <cfRule type="duplicateValues" dxfId="2573" priority="607"/>
    <cfRule type="duplicateValues" dxfId="2572" priority="608"/>
    <cfRule type="duplicateValues" dxfId="2571" priority="609"/>
    <cfRule type="duplicateValues" dxfId="2570" priority="610"/>
    <cfRule type="duplicateValues" dxfId="2569" priority="611"/>
    <cfRule type="duplicateValues" dxfId="2568" priority="612"/>
    <cfRule type="duplicateValues" dxfId="2567" priority="613"/>
    <cfRule type="duplicateValues" dxfId="2566" priority="614"/>
    <cfRule type="duplicateValues" dxfId="2565" priority="615"/>
    <cfRule type="duplicateValues" dxfId="2564" priority="616"/>
    <cfRule type="duplicateValues" dxfId="2563" priority="617"/>
    <cfRule type="duplicateValues" dxfId="2562" priority="618"/>
    <cfRule type="duplicateValues" dxfId="2561" priority="619"/>
    <cfRule type="duplicateValues" dxfId="2560" priority="620"/>
    <cfRule type="duplicateValues" dxfId="2559" priority="621"/>
    <cfRule type="duplicateValues" dxfId="2558" priority="622"/>
    <cfRule type="duplicateValues" dxfId="2557" priority="623"/>
    <cfRule type="duplicateValues" dxfId="2556" priority="624"/>
    <cfRule type="duplicateValues" dxfId="2555" priority="625"/>
  </conditionalFormatting>
  <conditionalFormatting sqref="E45">
    <cfRule type="duplicateValues" dxfId="2554" priority="890"/>
    <cfRule type="duplicateValues" dxfId="2553" priority="891"/>
    <cfRule type="duplicateValues" dxfId="2552" priority="892"/>
    <cfRule type="duplicateValues" dxfId="2551" priority="893"/>
    <cfRule type="duplicateValues" dxfId="2550" priority="894"/>
    <cfRule type="duplicateValues" dxfId="2549" priority="895"/>
    <cfRule type="duplicateValues" dxfId="2548" priority="896"/>
  </conditionalFormatting>
  <conditionalFormatting sqref="E46">
    <cfRule type="duplicateValues" dxfId="2547" priority="1008"/>
    <cfRule type="duplicateValues" dxfId="2546" priority="1009"/>
    <cfRule type="duplicateValues" dxfId="2545" priority="1010"/>
    <cfRule type="duplicateValues" dxfId="2544" priority="1011"/>
    <cfRule type="duplicateValues" dxfId="2543" priority="1012"/>
    <cfRule type="duplicateValues" dxfId="2542" priority="1013"/>
    <cfRule type="duplicateValues" dxfId="2541" priority="1014"/>
    <cfRule type="duplicateValues" dxfId="2540" priority="1015"/>
    <cfRule type="duplicateValues" dxfId="2539" priority="1016"/>
    <cfRule type="duplicateValues" dxfId="2538" priority="1017"/>
    <cfRule type="duplicateValues" dxfId="2537" priority="1018"/>
    <cfRule type="duplicateValues" dxfId="2536" priority="1019"/>
    <cfRule type="duplicateValues" dxfId="2535" priority="1020"/>
    <cfRule type="duplicateValues" dxfId="2534" priority="1021"/>
    <cfRule type="duplicateValues" dxfId="2533" priority="1022"/>
    <cfRule type="duplicateValues" dxfId="2532" priority="1023"/>
  </conditionalFormatting>
  <conditionalFormatting sqref="E47">
    <cfRule type="duplicateValues" dxfId="2531" priority="3157"/>
    <cfRule type="duplicateValues" dxfId="2530" priority="3158"/>
    <cfRule type="duplicateValues" dxfId="2529" priority="3159"/>
    <cfRule type="duplicateValues" dxfId="2528" priority="3160"/>
    <cfRule type="duplicateValues" dxfId="2527" priority="3161"/>
    <cfRule type="duplicateValues" dxfId="2526" priority="3162"/>
    <cfRule type="duplicateValues" dxfId="2525" priority="3163"/>
    <cfRule type="duplicateValues" dxfId="2524" priority="3164"/>
    <cfRule type="duplicateValues" dxfId="2523" priority="3165"/>
    <cfRule type="duplicateValues" dxfId="2522" priority="3166"/>
    <cfRule type="duplicateValues" dxfId="2521" priority="3167"/>
    <cfRule type="duplicateValues" dxfId="2520" priority="3168"/>
    <cfRule type="duplicateValues" dxfId="2519" priority="3169"/>
    <cfRule type="duplicateValues" dxfId="2518" priority="3170"/>
    <cfRule type="duplicateValues" dxfId="2517" priority="3171"/>
    <cfRule type="duplicateValues" dxfId="2516" priority="3172"/>
    <cfRule type="duplicateValues" dxfId="2515" priority="3173"/>
    <cfRule type="duplicateValues" dxfId="2514" priority="3174"/>
    <cfRule type="duplicateValues" dxfId="2513" priority="3175"/>
  </conditionalFormatting>
  <conditionalFormatting sqref="E48">
    <cfRule type="duplicateValues" dxfId="2512" priority="1"/>
    <cfRule type="duplicateValues" dxfId="2511" priority="2"/>
    <cfRule type="duplicateValues" dxfId="2510" priority="3"/>
    <cfRule type="duplicateValues" dxfId="2509" priority="4"/>
  </conditionalFormatting>
  <conditionalFormatting sqref="E49">
    <cfRule type="duplicateValues" dxfId="2508" priority="3550"/>
    <cfRule type="duplicateValues" dxfId="2507" priority="3551"/>
    <cfRule type="duplicateValues" dxfId="2506" priority="3552"/>
    <cfRule type="duplicateValues" dxfId="2505" priority="3553"/>
    <cfRule type="duplicateValues" dxfId="2504" priority="3554"/>
    <cfRule type="duplicateValues" dxfId="2503" priority="3555"/>
    <cfRule type="duplicateValues" dxfId="2502" priority="3556"/>
    <cfRule type="duplicateValues" dxfId="2501" priority="3557"/>
    <cfRule type="duplicateValues" dxfId="2500" priority="3558"/>
    <cfRule type="duplicateValues" dxfId="2499" priority="3559"/>
    <cfRule type="duplicateValues" dxfId="2498" priority="3560"/>
    <cfRule type="duplicateValues" dxfId="2497" priority="3561"/>
    <cfRule type="duplicateValues" dxfId="2496" priority="3562"/>
    <cfRule type="duplicateValues" dxfId="2495" priority="3563"/>
    <cfRule type="duplicateValues" dxfId="2494" priority="3564"/>
    <cfRule type="duplicateValues" dxfId="2493" priority="3565"/>
    <cfRule type="duplicateValues" dxfId="2492" priority="3566"/>
    <cfRule type="duplicateValues" dxfId="2491" priority="3567"/>
    <cfRule type="duplicateValues" dxfId="2490" priority="3568"/>
    <cfRule type="duplicateValues" dxfId="2489" priority="3569"/>
  </conditionalFormatting>
  <conditionalFormatting sqref="E50">
    <cfRule type="duplicateValues" dxfId="2488" priority="3097"/>
    <cfRule type="duplicateValues" dxfId="2487" priority="3098"/>
  </conditionalFormatting>
  <conditionalFormatting sqref="E51">
    <cfRule type="duplicateValues" dxfId="2486" priority="3811"/>
    <cfRule type="duplicateValues" dxfId="2485" priority="3812"/>
    <cfRule type="duplicateValues" dxfId="2484" priority="3813"/>
    <cfRule type="duplicateValues" dxfId="2483" priority="3814"/>
  </conditionalFormatting>
  <conditionalFormatting sqref="E52">
    <cfRule type="duplicateValues" dxfId="2482" priority="3459"/>
    <cfRule type="duplicateValues" dxfId="2481" priority="3460"/>
    <cfRule type="duplicateValues" dxfId="2480" priority="3461"/>
    <cfRule type="duplicateValues" dxfId="2479" priority="3462"/>
    <cfRule type="duplicateValues" dxfId="2478" priority="3463"/>
  </conditionalFormatting>
  <conditionalFormatting sqref="E54">
    <cfRule type="duplicateValues" dxfId="2477" priority="101"/>
    <cfRule type="duplicateValues" dxfId="2476" priority="102"/>
    <cfRule type="duplicateValues" dxfId="2475" priority="103"/>
    <cfRule type="duplicateValues" dxfId="2474" priority="104"/>
    <cfRule type="duplicateValues" dxfId="2473" priority="105"/>
    <cfRule type="duplicateValues" dxfId="2472" priority="106"/>
    <cfRule type="duplicateValues" dxfId="2471" priority="107"/>
    <cfRule type="duplicateValues" dxfId="2470" priority="108"/>
    <cfRule type="duplicateValues" dxfId="2469" priority="109"/>
    <cfRule type="duplicateValues" dxfId="2468" priority="110"/>
    <cfRule type="duplicateValues" dxfId="2467" priority="111"/>
    <cfRule type="duplicateValues" dxfId="2466" priority="112"/>
    <cfRule type="duplicateValues" dxfId="2465" priority="113"/>
    <cfRule type="duplicateValues" dxfId="2464" priority="114"/>
    <cfRule type="duplicateValues" dxfId="2463" priority="115"/>
    <cfRule type="duplicateValues" dxfId="2462" priority="116"/>
    <cfRule type="duplicateValues" dxfId="2461" priority="117"/>
    <cfRule type="duplicateValues" dxfId="2460" priority="118"/>
    <cfRule type="duplicateValues" dxfId="2459" priority="119"/>
  </conditionalFormatting>
  <conditionalFormatting sqref="E55">
    <cfRule type="duplicateValues" dxfId="2458" priority="3143"/>
  </conditionalFormatting>
  <conditionalFormatting sqref="E56">
    <cfRule type="duplicateValues" dxfId="2457" priority="3369"/>
    <cfRule type="duplicateValues" dxfId="2456" priority="3370"/>
    <cfRule type="duplicateValues" dxfId="2455" priority="3371"/>
    <cfRule type="duplicateValues" dxfId="2454" priority="3372"/>
    <cfRule type="duplicateValues" dxfId="2453" priority="3373"/>
    <cfRule type="duplicateValues" dxfId="2452" priority="3374"/>
  </conditionalFormatting>
  <conditionalFormatting sqref="E57">
    <cfRule type="duplicateValues" dxfId="2451" priority="3757"/>
    <cfRule type="duplicateValues" dxfId="2450" priority="3758"/>
    <cfRule type="duplicateValues" dxfId="2449" priority="3759"/>
    <cfRule type="duplicateValues" dxfId="2448" priority="3760"/>
    <cfRule type="duplicateValues" dxfId="2447" priority="3761"/>
    <cfRule type="duplicateValues" dxfId="2446" priority="3762"/>
    <cfRule type="duplicateValues" dxfId="2445" priority="3763"/>
    <cfRule type="duplicateValues" dxfId="2444" priority="3764"/>
  </conditionalFormatting>
  <conditionalFormatting sqref="E57:E58 E9 E72 E30 E11:E12 E22:E24 E68:E70 E14:E18 E62 E35 E38 E65 E41 E4 E76:E79 E6 E26:E27 E47 E49:E51">
    <cfRule type="duplicateValues" dxfId="2443" priority="3491"/>
  </conditionalFormatting>
  <conditionalFormatting sqref="E58">
    <cfRule type="duplicateValues" dxfId="2442" priority="3765"/>
    <cfRule type="duplicateValues" dxfId="2441" priority="3766"/>
    <cfRule type="duplicateValues" dxfId="2440" priority="3767"/>
    <cfRule type="duplicateValues" dxfId="2439" priority="3768"/>
    <cfRule type="duplicateValues" dxfId="2438" priority="3769"/>
  </conditionalFormatting>
  <conditionalFormatting sqref="E59">
    <cfRule type="duplicateValues" dxfId="2437" priority="3086"/>
    <cfRule type="duplicateValues" dxfId="2436" priority="3087"/>
  </conditionalFormatting>
  <conditionalFormatting sqref="E60">
    <cfRule type="duplicateValues" dxfId="2435" priority="523"/>
    <cfRule type="duplicateValues" dxfId="2434" priority="524"/>
    <cfRule type="duplicateValues" dxfId="2433" priority="525"/>
    <cfRule type="duplicateValues" dxfId="2432" priority="526"/>
    <cfRule type="duplicateValues" dxfId="2431" priority="527"/>
    <cfRule type="duplicateValues" dxfId="2430" priority="528"/>
    <cfRule type="duplicateValues" dxfId="2429" priority="529"/>
    <cfRule type="duplicateValues" dxfId="2428" priority="530"/>
    <cfRule type="duplicateValues" dxfId="2427" priority="531"/>
    <cfRule type="duplicateValues" dxfId="2426" priority="532"/>
    <cfRule type="duplicateValues" dxfId="2425" priority="533"/>
    <cfRule type="duplicateValues" dxfId="2424" priority="534"/>
    <cfRule type="duplicateValues" dxfId="2423" priority="535"/>
  </conditionalFormatting>
  <conditionalFormatting sqref="E61">
    <cfRule type="duplicateValues" dxfId="2422" priority="3106"/>
    <cfRule type="duplicateValues" dxfId="2421" priority="3107"/>
    <cfRule type="duplicateValues" dxfId="2420" priority="3108"/>
    <cfRule type="duplicateValues" dxfId="2419" priority="3109"/>
    <cfRule type="duplicateValues" dxfId="2418" priority="3110"/>
    <cfRule type="duplicateValues" dxfId="2417" priority="3111"/>
    <cfRule type="duplicateValues" dxfId="2416" priority="3112"/>
    <cfRule type="duplicateValues" dxfId="2415" priority="3113"/>
    <cfRule type="duplicateValues" dxfId="2414" priority="3114"/>
    <cfRule type="duplicateValues" dxfId="2413" priority="3115"/>
    <cfRule type="duplicateValues" dxfId="2412" priority="3116"/>
    <cfRule type="duplicateValues" dxfId="2411" priority="3117"/>
    <cfRule type="duplicateValues" dxfId="2410" priority="3118"/>
  </conditionalFormatting>
  <conditionalFormatting sqref="E62">
    <cfRule type="duplicateValues" dxfId="2409" priority="3739"/>
    <cfRule type="duplicateValues" dxfId="2408" priority="3740"/>
    <cfRule type="duplicateValues" dxfId="2407" priority="3741"/>
    <cfRule type="duplicateValues" dxfId="2406" priority="3742"/>
    <cfRule type="duplicateValues" dxfId="2405" priority="3743"/>
    <cfRule type="duplicateValues" dxfId="2404" priority="3744"/>
    <cfRule type="duplicateValues" dxfId="2403" priority="3745"/>
    <cfRule type="duplicateValues" dxfId="2402" priority="3746"/>
    <cfRule type="duplicateValues" dxfId="2401" priority="3747"/>
    <cfRule type="duplicateValues" dxfId="2400" priority="3748"/>
    <cfRule type="duplicateValues" dxfId="2399" priority="3749"/>
    <cfRule type="duplicateValues" dxfId="2398" priority="3750"/>
  </conditionalFormatting>
  <conditionalFormatting sqref="E63">
    <cfRule type="duplicateValues" dxfId="2397" priority="3464"/>
    <cfRule type="duplicateValues" dxfId="2396" priority="3465"/>
    <cfRule type="duplicateValues" dxfId="2395" priority="3466"/>
    <cfRule type="duplicateValues" dxfId="2394" priority="3467"/>
    <cfRule type="duplicateValues" dxfId="2393" priority="3468"/>
    <cfRule type="duplicateValues" dxfId="2392" priority="3469"/>
    <cfRule type="duplicateValues" dxfId="2391" priority="3470"/>
  </conditionalFormatting>
  <conditionalFormatting sqref="E64">
    <cfRule type="duplicateValues" dxfId="2390" priority="40"/>
    <cfRule type="duplicateValues" dxfId="2389" priority="41"/>
    <cfRule type="duplicateValues" dxfId="2388" priority="42"/>
    <cfRule type="duplicateValues" dxfId="2387" priority="43"/>
  </conditionalFormatting>
  <conditionalFormatting sqref="E65">
    <cfRule type="duplicateValues" dxfId="2386" priority="3699"/>
    <cfRule type="duplicateValues" dxfId="2385" priority="3700"/>
    <cfRule type="duplicateValues" dxfId="2384" priority="3701"/>
    <cfRule type="duplicateValues" dxfId="2383" priority="3702"/>
    <cfRule type="duplicateValues" dxfId="2382" priority="3703"/>
    <cfRule type="duplicateValues" dxfId="2381" priority="3704"/>
    <cfRule type="duplicateValues" dxfId="2380" priority="3705"/>
    <cfRule type="duplicateValues" dxfId="2379" priority="3706"/>
  </conditionalFormatting>
  <conditionalFormatting sqref="E66">
    <cfRule type="duplicateValues" dxfId="2378" priority="797"/>
    <cfRule type="duplicateValues" dxfId="2377" priority="798"/>
    <cfRule type="duplicateValues" dxfId="2376" priority="799"/>
    <cfRule type="duplicateValues" dxfId="2375" priority="800"/>
    <cfRule type="duplicateValues" dxfId="2374" priority="801"/>
    <cfRule type="duplicateValues" dxfId="2373" priority="802"/>
    <cfRule type="duplicateValues" dxfId="2372" priority="803"/>
    <cfRule type="duplicateValues" dxfId="2371" priority="804"/>
    <cfRule type="duplicateValues" dxfId="2370" priority="805"/>
    <cfRule type="duplicateValues" dxfId="2369" priority="806"/>
    <cfRule type="duplicateValues" dxfId="2368" priority="807"/>
    <cfRule type="duplicateValues" dxfId="2367" priority="808"/>
    <cfRule type="duplicateValues" dxfId="2366" priority="809"/>
  </conditionalFormatting>
  <conditionalFormatting sqref="E67">
    <cfRule type="duplicateValues" dxfId="2365" priority="3336"/>
    <cfRule type="duplicateValues" dxfId="2364" priority="3337"/>
    <cfRule type="duplicateValues" dxfId="2363" priority="3338"/>
    <cfRule type="duplicateValues" dxfId="2362" priority="3339"/>
    <cfRule type="duplicateValues" dxfId="2361" priority="3340"/>
    <cfRule type="duplicateValues" dxfId="2360" priority="3341"/>
    <cfRule type="duplicateValues" dxfId="2359" priority="3342"/>
    <cfRule type="duplicateValues" dxfId="2358" priority="3343"/>
    <cfRule type="duplicateValues" dxfId="2357" priority="3344"/>
    <cfRule type="duplicateValues" dxfId="2356" priority="3345"/>
    <cfRule type="duplicateValues" dxfId="2355" priority="3346"/>
    <cfRule type="duplicateValues" dxfId="2354" priority="3347"/>
    <cfRule type="duplicateValues" dxfId="2353" priority="3348"/>
  </conditionalFormatting>
  <conditionalFormatting sqref="E68">
    <cfRule type="duplicateValues" dxfId="2352" priority="3803"/>
    <cfRule type="duplicateValues" dxfId="2351" priority="3804"/>
  </conditionalFormatting>
  <conditionalFormatting sqref="E69">
    <cfRule type="duplicateValues" dxfId="2350" priority="3721"/>
    <cfRule type="duplicateValues" dxfId="2349" priority="3722"/>
    <cfRule type="duplicateValues" dxfId="2348" priority="3723"/>
    <cfRule type="duplicateValues" dxfId="2347" priority="3724"/>
    <cfRule type="duplicateValues" dxfId="2346" priority="3725"/>
    <cfRule type="duplicateValues" dxfId="2345" priority="3726"/>
    <cfRule type="duplicateValues" dxfId="2344" priority="3727"/>
    <cfRule type="duplicateValues" dxfId="2343" priority="3728"/>
    <cfRule type="duplicateValues" dxfId="2342" priority="3729"/>
    <cfRule type="duplicateValues" dxfId="2341" priority="3730"/>
    <cfRule type="duplicateValues" dxfId="2340" priority="3731"/>
    <cfRule type="duplicateValues" dxfId="2339" priority="3732"/>
    <cfRule type="duplicateValues" dxfId="2338" priority="3733"/>
    <cfRule type="duplicateValues" dxfId="2337" priority="3734"/>
    <cfRule type="duplicateValues" dxfId="2336" priority="3735"/>
    <cfRule type="duplicateValues" dxfId="2335" priority="3736"/>
    <cfRule type="duplicateValues" dxfId="2334" priority="3737"/>
    <cfRule type="duplicateValues" dxfId="2333" priority="3738"/>
  </conditionalFormatting>
  <conditionalFormatting sqref="E70">
    <cfRule type="duplicateValues" dxfId="2332" priority="3570"/>
    <cfRule type="duplicateValues" dxfId="2331" priority="3571"/>
    <cfRule type="duplicateValues" dxfId="2330" priority="3572"/>
    <cfRule type="duplicateValues" dxfId="2329" priority="3573"/>
    <cfRule type="duplicateValues" dxfId="2328" priority="3574"/>
    <cfRule type="duplicateValues" dxfId="2327" priority="3575"/>
    <cfRule type="duplicateValues" dxfId="2326" priority="3576"/>
    <cfRule type="duplicateValues" dxfId="2325" priority="3577"/>
    <cfRule type="duplicateValues" dxfId="2324" priority="3578"/>
    <cfRule type="duplicateValues" dxfId="2323" priority="3579"/>
    <cfRule type="duplicateValues" dxfId="2322" priority="3580"/>
    <cfRule type="duplicateValues" dxfId="2321" priority="3581"/>
    <cfRule type="duplicateValues" dxfId="2320" priority="3582"/>
    <cfRule type="duplicateValues" dxfId="2319" priority="3583"/>
    <cfRule type="duplicateValues" dxfId="2318" priority="3584"/>
    <cfRule type="duplicateValues" dxfId="2317" priority="3585"/>
    <cfRule type="duplicateValues" dxfId="2316" priority="3586"/>
    <cfRule type="duplicateValues" dxfId="2315" priority="3587"/>
    <cfRule type="duplicateValues" dxfId="2314" priority="3588"/>
    <cfRule type="duplicateValues" dxfId="2313" priority="3589"/>
    <cfRule type="duplicateValues" dxfId="2312" priority="3590"/>
    <cfRule type="duplicateValues" dxfId="2311" priority="3591"/>
    <cfRule type="duplicateValues" dxfId="2310" priority="3592"/>
    <cfRule type="duplicateValues" dxfId="2309" priority="3593"/>
    <cfRule type="duplicateValues" dxfId="2308" priority="3594"/>
    <cfRule type="duplicateValues" dxfId="2307" priority="3595"/>
    <cfRule type="duplicateValues" dxfId="2306" priority="3596"/>
    <cfRule type="duplicateValues" dxfId="2305" priority="3597"/>
  </conditionalFormatting>
  <conditionalFormatting sqref="E71">
    <cfRule type="duplicateValues" dxfId="2304" priority="3407"/>
    <cfRule type="duplicateValues" dxfId="2303" priority="3408"/>
    <cfRule type="duplicateValues" dxfId="2302" priority="3409"/>
    <cfRule type="duplicateValues" dxfId="2301" priority="3410"/>
    <cfRule type="duplicateValues" dxfId="2300" priority="3411"/>
  </conditionalFormatting>
  <conditionalFormatting sqref="E72">
    <cfRule type="duplicateValues" dxfId="2299" priority="3770"/>
    <cfRule type="duplicateValues" dxfId="2298" priority="3771"/>
    <cfRule type="duplicateValues" dxfId="2297" priority="3772"/>
    <cfRule type="duplicateValues" dxfId="2296" priority="3773"/>
    <cfRule type="duplicateValues" dxfId="2295" priority="3774"/>
    <cfRule type="duplicateValues" dxfId="2294" priority="3775"/>
    <cfRule type="duplicateValues" dxfId="2293" priority="3776"/>
    <cfRule type="duplicateValues" dxfId="2292" priority="3777"/>
  </conditionalFormatting>
  <conditionalFormatting sqref="E73">
    <cfRule type="duplicateValues" dxfId="2291" priority="3233"/>
    <cfRule type="duplicateValues" dxfId="2290" priority="3234"/>
    <cfRule type="duplicateValues" dxfId="2289" priority="3235"/>
    <cfRule type="duplicateValues" dxfId="2288" priority="3236"/>
    <cfRule type="duplicateValues" dxfId="2287" priority="3237"/>
    <cfRule type="duplicateValues" dxfId="2286" priority="3238"/>
    <cfRule type="duplicateValues" dxfId="2285" priority="3239"/>
    <cfRule type="duplicateValues" dxfId="2284" priority="3240"/>
    <cfRule type="duplicateValues" dxfId="2283" priority="3241"/>
    <cfRule type="duplicateValues" dxfId="2282" priority="3242"/>
    <cfRule type="duplicateValues" dxfId="2281" priority="3243"/>
    <cfRule type="duplicateValues" dxfId="2280" priority="3244"/>
    <cfRule type="duplicateValues" dxfId="2279" priority="3245"/>
    <cfRule type="duplicateValues" dxfId="2278" priority="3246"/>
    <cfRule type="duplicateValues" dxfId="2277" priority="3247"/>
    <cfRule type="duplicateValues" dxfId="2276" priority="3248"/>
    <cfRule type="duplicateValues" dxfId="2275" priority="3249"/>
    <cfRule type="duplicateValues" dxfId="2274" priority="3250"/>
    <cfRule type="duplicateValues" dxfId="2273" priority="3251"/>
    <cfRule type="duplicateValues" dxfId="2272" priority="3252"/>
    <cfRule type="duplicateValues" dxfId="2271" priority="3253"/>
    <cfRule type="duplicateValues" dxfId="2270" priority="3254"/>
    <cfRule type="duplicateValues" dxfId="2269" priority="3255"/>
    <cfRule type="duplicateValues" dxfId="2268" priority="3256"/>
    <cfRule type="duplicateValues" dxfId="2267" priority="3257"/>
    <cfRule type="duplicateValues" dxfId="2266" priority="3258"/>
    <cfRule type="duplicateValues" dxfId="2265" priority="3259"/>
    <cfRule type="duplicateValues" dxfId="2264" priority="3260"/>
    <cfRule type="duplicateValues" dxfId="2263" priority="3261"/>
    <cfRule type="duplicateValues" dxfId="2262" priority="3262"/>
    <cfRule type="duplicateValues" dxfId="2261" priority="3263"/>
    <cfRule type="duplicateValues" dxfId="2260" priority="3264"/>
    <cfRule type="duplicateValues" dxfId="2259" priority="3265"/>
    <cfRule type="duplicateValues" dxfId="2258" priority="3266"/>
    <cfRule type="duplicateValues" dxfId="2257" priority="3267"/>
    <cfRule type="duplicateValues" dxfId="2256" priority="3268"/>
    <cfRule type="duplicateValues" dxfId="2255" priority="3269"/>
    <cfRule type="duplicateValues" dxfId="2254" priority="3270"/>
    <cfRule type="duplicateValues" dxfId="2253" priority="3271"/>
    <cfRule type="duplicateValues" dxfId="2252" priority="3272"/>
    <cfRule type="duplicateValues" dxfId="2251" priority="3273"/>
    <cfRule type="duplicateValues" dxfId="2250" priority="3274"/>
    <cfRule type="duplicateValues" dxfId="2249" priority="3275"/>
    <cfRule type="duplicateValues" dxfId="2248" priority="3276"/>
    <cfRule type="duplicateValues" dxfId="2247" priority="3277"/>
    <cfRule type="duplicateValues" dxfId="2246" priority="3278"/>
    <cfRule type="duplicateValues" dxfId="2245" priority="3279"/>
    <cfRule type="duplicateValues" dxfId="2244" priority="3280"/>
    <cfRule type="duplicateValues" dxfId="2243" priority="3281"/>
    <cfRule type="duplicateValues" dxfId="2242" priority="3282"/>
    <cfRule type="duplicateValues" dxfId="2241" priority="3283"/>
    <cfRule type="duplicateValues" dxfId="2240" priority="3284"/>
    <cfRule type="duplicateValues" dxfId="2239" priority="3285"/>
    <cfRule type="duplicateValues" dxfId="2238" priority="3286"/>
    <cfRule type="duplicateValues" dxfId="2237" priority="3287"/>
    <cfRule type="duplicateValues" dxfId="2236" priority="3288"/>
  </conditionalFormatting>
  <conditionalFormatting sqref="E74">
    <cfRule type="duplicateValues" dxfId="2235" priority="3366"/>
    <cfRule type="duplicateValues" dxfId="2234" priority="3367"/>
    <cfRule type="duplicateValues" dxfId="2233" priority="3368"/>
  </conditionalFormatting>
  <conditionalFormatting sqref="E75">
    <cfRule type="duplicateValues" dxfId="2232" priority="3148"/>
    <cfRule type="duplicateValues" dxfId="2231" priority="3149"/>
    <cfRule type="duplicateValues" dxfId="2230" priority="3150"/>
    <cfRule type="duplicateValues" dxfId="2229" priority="3151"/>
    <cfRule type="duplicateValues" dxfId="2228" priority="3152"/>
    <cfRule type="duplicateValues" dxfId="2227" priority="3153"/>
    <cfRule type="duplicateValues" dxfId="2226" priority="3154"/>
    <cfRule type="duplicateValues" dxfId="2225" priority="3155"/>
    <cfRule type="duplicateValues" dxfId="2224" priority="3156"/>
  </conditionalFormatting>
  <conditionalFormatting sqref="E76:E78">
    <cfRule type="duplicateValues" dxfId="2223" priority="3778"/>
    <cfRule type="duplicateValues" dxfId="2222" priority="3779"/>
    <cfRule type="duplicateValues" dxfId="2221" priority="3780"/>
    <cfRule type="duplicateValues" dxfId="2220" priority="3781"/>
    <cfRule type="duplicateValues" dxfId="2219" priority="3782"/>
    <cfRule type="duplicateValues" dxfId="2218" priority="3783"/>
    <cfRule type="duplicateValues" dxfId="2217" priority="3784"/>
    <cfRule type="duplicateValues" dxfId="2216" priority="3785"/>
    <cfRule type="duplicateValues" dxfId="2215" priority="3786"/>
    <cfRule type="duplicateValues" dxfId="2214" priority="3787"/>
  </conditionalFormatting>
  <conditionalFormatting sqref="E77:E78 B57:E58 B9:E9 B10:D10 B71:D71 B30:E30 B65:E65 B11:E12 B41:E41 B52:D52 B22:E24 B68:E70 B14:E18 B13:D13 B63:D64 B62:E62 B38:E38 B35:E35 B53:C53 B27:E27 B31:D31 B36:D37 B72:E72 B73:D74 B54:D56 C76:E76 B39:D40 B19:D21 B61:C61 B28:D29 B6:E6 B59:D60 B25:D26 B5:D5 B51:E51 B50:C50 E50 B47:E47 B42:D43 B66:D67 C75:D75 B75:B78 B45:D45 B44:C44 B33:D34 B32:C32 B46:C46 B7:D8 B49:E49 B48:D48">
    <cfRule type="duplicateValues" dxfId="2213" priority="3816"/>
  </conditionalFormatting>
  <conditionalFormatting sqref="E79 E4">
    <cfRule type="duplicateValues" dxfId="2212" priority="3815"/>
  </conditionalFormatting>
  <conditionalFormatting sqref="E80:E93 E1:E3">
    <cfRule type="duplicateValues" dxfId="2211" priority="5915"/>
  </conditionalFormatting>
  <conditionalFormatting sqref="F2">
    <cfRule type="duplicateValues" dxfId="2210" priority="4212"/>
  </conditionalFormatting>
  <conditionalFormatting sqref="F2:F3">
    <cfRule type="duplicateValues" dxfId="2209" priority="3873"/>
    <cfRule type="duplicateValues" dxfId="2208" priority="3874"/>
    <cfRule type="duplicateValues" dxfId="2207" priority="3875"/>
    <cfRule type="duplicateValues" dxfId="2206" priority="3876"/>
    <cfRule type="duplicateValues" dxfId="2205" priority="3877"/>
    <cfRule type="duplicateValues" dxfId="2204" priority="3878"/>
    <cfRule type="duplicateValues" dxfId="2203" priority="3879"/>
    <cfRule type="duplicateValues" dxfId="2202" priority="3880"/>
    <cfRule type="duplicateValues" dxfId="2201" priority="3881"/>
    <cfRule type="duplicateValues" dxfId="2200" priority="3882"/>
    <cfRule type="duplicateValues" dxfId="2199" priority="3883"/>
    <cfRule type="duplicateValues" dxfId="2198" priority="3884"/>
    <cfRule type="duplicateValues" dxfId="2197" priority="3885"/>
    <cfRule type="duplicateValues" dxfId="2196" priority="3886"/>
    <cfRule type="duplicateValues" dxfId="2195" priority="3887"/>
    <cfRule type="duplicateValues" dxfId="2194" priority="3888"/>
    <cfRule type="duplicateValues" dxfId="2193" priority="3889"/>
    <cfRule type="duplicateValues" dxfId="2192" priority="3890"/>
    <cfRule type="duplicateValues" dxfId="2191" priority="3891"/>
    <cfRule type="duplicateValues" dxfId="2190" priority="3892"/>
    <cfRule type="duplicateValues" dxfId="2189" priority="3893"/>
    <cfRule type="duplicateValues" dxfId="2188" priority="3894"/>
    <cfRule type="duplicateValues" dxfId="2187" priority="3895"/>
    <cfRule type="duplicateValues" dxfId="2186" priority="3896"/>
    <cfRule type="duplicateValues" dxfId="2185" priority="3897"/>
    <cfRule type="duplicateValues" dxfId="2184" priority="3898"/>
    <cfRule type="duplicateValues" dxfId="2183" priority="3899"/>
    <cfRule type="duplicateValues" dxfId="2182" priority="3900"/>
    <cfRule type="duplicateValues" dxfId="2181" priority="3901"/>
    <cfRule type="duplicateValues" dxfId="2180" priority="3902"/>
    <cfRule type="duplicateValues" dxfId="2179" priority="3903"/>
    <cfRule type="duplicateValues" dxfId="2178" priority="3904"/>
    <cfRule type="duplicateValues" dxfId="2177" priority="3905"/>
    <cfRule type="duplicateValues" dxfId="2176" priority="3906"/>
    <cfRule type="duplicateValues" dxfId="2175" priority="3907"/>
    <cfRule type="duplicateValues" dxfId="2174" priority="3908"/>
  </conditionalFormatting>
  <conditionalFormatting sqref="F3">
    <cfRule type="duplicateValues" dxfId="2173" priority="4236"/>
  </conditionalFormatting>
  <conditionalFormatting sqref="F80:F87">
    <cfRule type="duplicateValues" dxfId="2172" priority="4241"/>
    <cfRule type="duplicateValues" dxfId="2171" priority="4242"/>
    <cfRule type="duplicateValues" dxfId="2170" priority="4243"/>
    <cfRule type="duplicateValues" dxfId="2169" priority="4734"/>
  </conditionalFormatting>
  <conditionalFormatting sqref="F80:F88">
    <cfRule type="duplicateValues" dxfId="2168" priority="4251"/>
    <cfRule type="duplicateValues" dxfId="2167" priority="4252"/>
    <cfRule type="duplicateValues" dxfId="2166" priority="4502"/>
    <cfRule type="duplicateValues" dxfId="2165" priority="4503"/>
    <cfRule type="duplicateValues" dxfId="2164" priority="4504"/>
    <cfRule type="duplicateValues" dxfId="2163" priority="4505"/>
    <cfRule type="duplicateValues" dxfId="2162" priority="4506"/>
    <cfRule type="duplicateValues" dxfId="2161" priority="4507"/>
    <cfRule type="duplicateValues" dxfId="2160" priority="4508"/>
  </conditionalFormatting>
  <conditionalFormatting sqref="F88:F89">
    <cfRule type="duplicateValues" dxfId="2159" priority="4202"/>
    <cfRule type="duplicateValues" dxfId="2158" priority="4203"/>
    <cfRule type="duplicateValues" dxfId="2157" priority="4204"/>
    <cfRule type="duplicateValues" dxfId="2156" priority="4205"/>
    <cfRule type="duplicateValues" dxfId="2155" priority="4206"/>
    <cfRule type="duplicateValues" dxfId="2154" priority="4207"/>
    <cfRule type="duplicateValues" dxfId="2153" priority="4208"/>
    <cfRule type="duplicateValues" dxfId="2152" priority="4209"/>
    <cfRule type="duplicateValues" dxfId="2151" priority="4210"/>
    <cfRule type="duplicateValues" dxfId="2150" priority="4211"/>
    <cfRule type="duplicateValues" dxfId="2149" priority="4720"/>
  </conditionalFormatting>
  <conditionalFormatting sqref="F89:F90">
    <cfRule type="duplicateValues" dxfId="2148" priority="4295"/>
    <cfRule type="duplicateValues" dxfId="2147" priority="4296"/>
    <cfRule type="duplicateValues" dxfId="2146" priority="4297"/>
    <cfRule type="duplicateValues" dxfId="2145" priority="4298"/>
    <cfRule type="duplicateValues" dxfId="2144" priority="4299"/>
    <cfRule type="duplicateValues" dxfId="2143" priority="4300"/>
    <cfRule type="duplicateValues" dxfId="2142" priority="4301"/>
    <cfRule type="duplicateValues" dxfId="2141" priority="4302"/>
    <cfRule type="duplicateValues" dxfId="2140" priority="4303"/>
    <cfRule type="duplicateValues" dxfId="2139" priority="4304"/>
    <cfRule type="duplicateValues" dxfId="2138" priority="4305"/>
    <cfRule type="duplicateValues" dxfId="2137" priority="4306"/>
    <cfRule type="duplicateValues" dxfId="2136" priority="4307"/>
    <cfRule type="duplicateValues" dxfId="2135" priority="4308"/>
    <cfRule type="duplicateValues" dxfId="2134" priority="4309"/>
    <cfRule type="duplicateValues" dxfId="2133" priority="4310"/>
    <cfRule type="duplicateValues" dxfId="2132" priority="4311"/>
    <cfRule type="duplicateValues" dxfId="2131" priority="4312"/>
    <cfRule type="duplicateValues" dxfId="2130" priority="4313"/>
    <cfRule type="duplicateValues" dxfId="2129" priority="4314"/>
    <cfRule type="duplicateValues" dxfId="2128" priority="4315"/>
    <cfRule type="duplicateValues" dxfId="2127" priority="4316"/>
    <cfRule type="duplicateValues" dxfId="2126" priority="4317"/>
    <cfRule type="duplicateValues" dxfId="2125" priority="4318"/>
    <cfRule type="duplicateValues" dxfId="2124" priority="4319"/>
  </conditionalFormatting>
  <conditionalFormatting sqref="F90:F91">
    <cfRule type="duplicateValues" dxfId="2123" priority="4683"/>
    <cfRule type="duplicateValues" dxfId="2122" priority="4684"/>
  </conditionalFormatting>
  <conditionalFormatting sqref="F91:F92">
    <cfRule type="duplicateValues" dxfId="2121" priority="4715"/>
    <cfRule type="duplicateValues" dxfId="2120" priority="4728"/>
  </conditionalFormatting>
  <conditionalFormatting sqref="F92:F93">
    <cfRule type="duplicateValues" dxfId="2119" priority="4710"/>
    <cfRule type="duplicateValues" dxfId="2118" priority="4723"/>
  </conditionalFormatting>
  <conditionalFormatting sqref="F93:F94">
    <cfRule type="duplicateValues" dxfId="2117" priority="4570"/>
    <cfRule type="duplicateValues" dxfId="2116" priority="4571"/>
    <cfRule type="duplicateValues" dxfId="2115" priority="4572"/>
    <cfRule type="duplicateValues" dxfId="2114" priority="4573"/>
    <cfRule type="duplicateValues" dxfId="2113" priority="4574"/>
    <cfRule type="duplicateValues" dxfId="2112" priority="4575"/>
    <cfRule type="duplicateValues" dxfId="2111" priority="4576"/>
    <cfRule type="duplicateValues" dxfId="2110" priority="4577"/>
    <cfRule type="duplicateValues" dxfId="2109" priority="4578"/>
    <cfRule type="duplicateValues" dxfId="2108" priority="4579"/>
    <cfRule type="duplicateValues" dxfId="2107" priority="4580"/>
    <cfRule type="duplicateValues" dxfId="2106" priority="4581"/>
  </conditionalFormatting>
  <conditionalFormatting sqref="F94:F95">
    <cfRule type="duplicateValues" dxfId="2105" priority="4712"/>
    <cfRule type="duplicateValues" dxfId="2104" priority="4733"/>
  </conditionalFormatting>
  <conditionalFormatting sqref="F95:F97">
    <cfRule type="duplicateValues" dxfId="2103" priority="4411"/>
    <cfRule type="duplicateValues" dxfId="2102" priority="4412"/>
    <cfRule type="duplicateValues" dxfId="2101" priority="4413"/>
    <cfRule type="duplicateValues" dxfId="2100" priority="4414"/>
    <cfRule type="duplicateValues" dxfId="2099" priority="4415"/>
    <cfRule type="duplicateValues" dxfId="2098" priority="4416"/>
    <cfRule type="duplicateValues" dxfId="2097" priority="4417"/>
    <cfRule type="duplicateValues" dxfId="2096" priority="4418"/>
    <cfRule type="duplicateValues" dxfId="2095" priority="4419"/>
    <cfRule type="duplicateValues" dxfId="2094" priority="4420"/>
    <cfRule type="duplicateValues" dxfId="2093" priority="4421"/>
    <cfRule type="duplicateValues" dxfId="2092" priority="4422"/>
    <cfRule type="duplicateValues" dxfId="2091" priority="4423"/>
    <cfRule type="duplicateValues" dxfId="2090" priority="4424"/>
    <cfRule type="duplicateValues" dxfId="2089" priority="4425"/>
    <cfRule type="duplicateValues" dxfId="2088" priority="4426"/>
    <cfRule type="duplicateValues" dxfId="2087" priority="4427"/>
    <cfRule type="duplicateValues" dxfId="2086" priority="4428"/>
    <cfRule type="duplicateValues" dxfId="2085" priority="4429"/>
    <cfRule type="duplicateValues" dxfId="2084" priority="4430"/>
    <cfRule type="duplicateValues" dxfId="2083" priority="4431"/>
    <cfRule type="duplicateValues" dxfId="2082" priority="4432"/>
    <cfRule type="duplicateValues" dxfId="2081" priority="4433"/>
    <cfRule type="duplicateValues" dxfId="2080" priority="4434"/>
    <cfRule type="duplicateValues" dxfId="2079" priority="4435"/>
    <cfRule type="duplicateValues" dxfId="2078" priority="4436"/>
    <cfRule type="duplicateValues" dxfId="2077" priority="4437"/>
    <cfRule type="duplicateValues" dxfId="2076" priority="4438"/>
  </conditionalFormatting>
  <conditionalFormatting sqref="F97:F98">
    <cfRule type="duplicateValues" dxfId="2075" priority="4716"/>
    <cfRule type="duplicateValues" dxfId="2074" priority="4724"/>
    <cfRule type="duplicateValues" dxfId="2073" priority="4725"/>
  </conditionalFormatting>
  <conditionalFormatting sqref="F98">
    <cfRule type="duplicateValues" dxfId="2072" priority="5928"/>
    <cfRule type="duplicateValues" dxfId="2071" priority="5929"/>
    <cfRule type="duplicateValues" dxfId="2070" priority="5930"/>
    <cfRule type="duplicateValues" dxfId="2069" priority="5931"/>
    <cfRule type="duplicateValues" dxfId="2068" priority="5932"/>
    <cfRule type="duplicateValues" dxfId="2067" priority="5933"/>
  </conditionalFormatting>
  <conditionalFormatting sqref="F99">
    <cfRule type="duplicateValues" dxfId="2066" priority="5923"/>
    <cfRule type="duplicateValues" dxfId="2065" priority="5924"/>
    <cfRule type="duplicateValues" dxfId="2064" priority="5925"/>
  </conditionalFormatting>
  <conditionalFormatting sqref="F99:F100">
    <cfRule type="duplicateValues" dxfId="2063" priority="4614"/>
    <cfRule type="duplicateValues" dxfId="2062" priority="4615"/>
    <cfRule type="duplicateValues" dxfId="2061" priority="4616"/>
    <cfRule type="duplicateValues" dxfId="2060" priority="4617"/>
    <cfRule type="duplicateValues" dxfId="2059" priority="4618"/>
    <cfRule type="duplicateValues" dxfId="2058" priority="4619"/>
    <cfRule type="duplicateValues" dxfId="2057" priority="4620"/>
    <cfRule type="duplicateValues" dxfId="2056" priority="4621"/>
    <cfRule type="duplicateValues" dxfId="2055" priority="4622"/>
  </conditionalFormatting>
  <conditionalFormatting sqref="F100:F101">
    <cfRule type="duplicateValues" dxfId="2054" priority="4483"/>
    <cfRule type="duplicateValues" dxfId="2053" priority="4484"/>
    <cfRule type="duplicateValues" dxfId="2052" priority="4485"/>
    <cfRule type="duplicateValues" dxfId="2051" priority="4486"/>
    <cfRule type="duplicateValues" dxfId="2050" priority="4487"/>
    <cfRule type="duplicateValues" dxfId="2049" priority="4488"/>
    <cfRule type="duplicateValues" dxfId="2048" priority="4489"/>
    <cfRule type="duplicateValues" dxfId="2047" priority="4490"/>
    <cfRule type="duplicateValues" dxfId="2046" priority="4491"/>
  </conditionalFormatting>
  <conditionalFormatting sqref="F101:F102">
    <cfRule type="duplicateValues" dxfId="2045" priority="4363"/>
    <cfRule type="duplicateValues" dxfId="2044" priority="4364"/>
    <cfRule type="duplicateValues" dxfId="2043" priority="4365"/>
    <cfRule type="duplicateValues" dxfId="2042" priority="4366"/>
    <cfRule type="duplicateValues" dxfId="2041" priority="4367"/>
    <cfRule type="duplicateValues" dxfId="2040" priority="4368"/>
    <cfRule type="duplicateValues" dxfId="2039" priority="4369"/>
    <cfRule type="duplicateValues" dxfId="2038" priority="4370"/>
    <cfRule type="duplicateValues" dxfId="2037" priority="4371"/>
    <cfRule type="duplicateValues" dxfId="2036" priority="4372"/>
    <cfRule type="duplicateValues" dxfId="2035" priority="4373"/>
    <cfRule type="duplicateValues" dxfId="2034" priority="4374"/>
    <cfRule type="duplicateValues" dxfId="2033" priority="4375"/>
    <cfRule type="duplicateValues" dxfId="2032" priority="4376"/>
    <cfRule type="duplicateValues" dxfId="2031" priority="4377"/>
    <cfRule type="duplicateValues" dxfId="2030" priority="4378"/>
    <cfRule type="duplicateValues" dxfId="2029" priority="4379"/>
    <cfRule type="duplicateValues" dxfId="2028" priority="4380"/>
    <cfRule type="duplicateValues" dxfId="2027" priority="4381"/>
    <cfRule type="duplicateValues" dxfId="2026" priority="4382"/>
  </conditionalFormatting>
  <conditionalFormatting sqref="F102:F103">
    <cfRule type="duplicateValues" dxfId="2025" priority="4681"/>
    <cfRule type="duplicateValues" dxfId="2024" priority="4682"/>
  </conditionalFormatting>
  <conditionalFormatting sqref="F103:F104">
    <cfRule type="duplicateValues" dxfId="2023" priority="4717"/>
    <cfRule type="duplicateValues" dxfId="2022" priority="4718"/>
    <cfRule type="duplicateValues" dxfId="2021" priority="4719"/>
  </conditionalFormatting>
  <conditionalFormatting sqref="F103:F105">
    <cfRule type="duplicateValues" dxfId="2020" priority="4731"/>
  </conditionalFormatting>
  <conditionalFormatting sqref="F104:F106">
    <cfRule type="duplicateValues" dxfId="2019" priority="4721"/>
  </conditionalFormatting>
  <conditionalFormatting sqref="F105:F106">
    <cfRule type="duplicateValues" dxfId="2018" priority="4730"/>
  </conditionalFormatting>
  <conditionalFormatting sqref="F106:F107">
    <cfRule type="duplicateValues" dxfId="2017" priority="4707"/>
    <cfRule type="duplicateValues" dxfId="2016" priority="4708"/>
    <cfRule type="duplicateValues" dxfId="2015" priority="4709"/>
  </conditionalFormatting>
  <conditionalFormatting sqref="F107:F108">
    <cfRule type="duplicateValues" dxfId="2014" priority="4509"/>
    <cfRule type="duplicateValues" dxfId="2013" priority="4510"/>
    <cfRule type="duplicateValues" dxfId="2012" priority="4511"/>
    <cfRule type="duplicateValues" dxfId="2011" priority="4512"/>
    <cfRule type="duplicateValues" dxfId="2010" priority="4513"/>
    <cfRule type="duplicateValues" dxfId="2009" priority="4514"/>
    <cfRule type="duplicateValues" dxfId="2008" priority="4515"/>
    <cfRule type="duplicateValues" dxfId="2007" priority="4516"/>
    <cfRule type="duplicateValues" dxfId="2006" priority="4517"/>
    <cfRule type="duplicateValues" dxfId="2005" priority="4518"/>
    <cfRule type="duplicateValues" dxfId="2004" priority="4519"/>
    <cfRule type="duplicateValues" dxfId="2003" priority="4520"/>
  </conditionalFormatting>
  <conditionalFormatting sqref="F108:F109">
    <cfRule type="duplicateValues" dxfId="2002" priority="4642"/>
    <cfRule type="duplicateValues" dxfId="2001" priority="4643"/>
    <cfRule type="duplicateValues" dxfId="2000" priority="4644"/>
    <cfRule type="duplicateValues" dxfId="1999" priority="4645"/>
  </conditionalFormatting>
  <conditionalFormatting sqref="F109:F110">
    <cfRule type="duplicateValues" dxfId="1998" priority="4629"/>
    <cfRule type="duplicateValues" dxfId="1997" priority="4630"/>
    <cfRule type="duplicateValues" dxfId="1996" priority="4631"/>
    <cfRule type="duplicateValues" dxfId="1995" priority="4632"/>
    <cfRule type="duplicateValues" dxfId="1994" priority="4633"/>
    <cfRule type="duplicateValues" dxfId="1993" priority="4634"/>
    <cfRule type="duplicateValues" dxfId="1992" priority="4635"/>
    <cfRule type="duplicateValues" dxfId="1991" priority="4636"/>
  </conditionalFormatting>
  <conditionalFormatting sqref="F110:F111">
    <cfRule type="duplicateValues" dxfId="1990" priority="4637"/>
    <cfRule type="duplicateValues" dxfId="1989" priority="4638"/>
    <cfRule type="duplicateValues" dxfId="1988" priority="4639"/>
    <cfRule type="duplicateValues" dxfId="1987" priority="4640"/>
    <cfRule type="duplicateValues" dxfId="1986" priority="4641"/>
  </conditionalFormatting>
  <conditionalFormatting sqref="F112:F113">
    <cfRule type="duplicateValues" dxfId="1985" priority="4527"/>
    <cfRule type="duplicateValues" dxfId="1984" priority="4528"/>
    <cfRule type="duplicateValues" dxfId="1983" priority="4529"/>
    <cfRule type="duplicateValues" dxfId="1982" priority="4530"/>
  </conditionalFormatting>
  <conditionalFormatting sqref="F113:F114">
    <cfRule type="duplicateValues" dxfId="1981" priority="4559"/>
    <cfRule type="duplicateValues" dxfId="1980" priority="4560"/>
    <cfRule type="duplicateValues" dxfId="1979" priority="4561"/>
  </conditionalFormatting>
  <conditionalFormatting sqref="F114:F115">
    <cfRule type="duplicateValues" dxfId="1978" priority="4602"/>
    <cfRule type="duplicateValues" dxfId="1977" priority="4603"/>
    <cfRule type="duplicateValues" dxfId="1976" priority="4604"/>
    <cfRule type="duplicateValues" dxfId="1975" priority="4605"/>
    <cfRule type="duplicateValues" dxfId="1974" priority="4606"/>
    <cfRule type="duplicateValues" dxfId="1973" priority="4607"/>
    <cfRule type="duplicateValues" dxfId="1972" priority="4608"/>
    <cfRule type="duplicateValues" dxfId="1971" priority="4609"/>
    <cfRule type="duplicateValues" dxfId="1970" priority="4610"/>
    <cfRule type="duplicateValues" dxfId="1969" priority="4611"/>
    <cfRule type="duplicateValues" dxfId="1968" priority="4612"/>
    <cfRule type="duplicateValues" dxfId="1967" priority="4613"/>
  </conditionalFormatting>
  <conditionalFormatting sqref="F115:F116">
    <cfRule type="duplicateValues" dxfId="1966" priority="4698"/>
    <cfRule type="duplicateValues" dxfId="1965" priority="4699"/>
  </conditionalFormatting>
  <conditionalFormatting sqref="F116:F117">
    <cfRule type="duplicateValues" dxfId="1964" priority="4689"/>
  </conditionalFormatting>
  <conditionalFormatting sqref="F117:F118">
    <cfRule type="duplicateValues" dxfId="1963" priority="4562"/>
    <cfRule type="duplicateValues" dxfId="1962" priority="4563"/>
    <cfRule type="duplicateValues" dxfId="1961" priority="4564"/>
    <cfRule type="duplicateValues" dxfId="1960" priority="4565"/>
    <cfRule type="duplicateValues" dxfId="1959" priority="4566"/>
    <cfRule type="duplicateValues" dxfId="1958" priority="4567"/>
    <cfRule type="duplicateValues" dxfId="1957" priority="4568"/>
    <cfRule type="duplicateValues" dxfId="1956" priority="4569"/>
  </conditionalFormatting>
  <conditionalFormatting sqref="F118:F119">
    <cfRule type="duplicateValues" dxfId="1955" priority="4521"/>
    <cfRule type="duplicateValues" dxfId="1954" priority="4522"/>
    <cfRule type="duplicateValues" dxfId="1953" priority="4523"/>
    <cfRule type="duplicateValues" dxfId="1952" priority="4524"/>
    <cfRule type="duplicateValues" dxfId="1951" priority="4525"/>
    <cfRule type="duplicateValues" dxfId="1950" priority="4526"/>
  </conditionalFormatting>
  <conditionalFormatting sqref="F119:F120">
    <cfRule type="duplicateValues" dxfId="1949" priority="4687"/>
    <cfRule type="duplicateValues" dxfId="1948" priority="4688"/>
  </conditionalFormatting>
  <conditionalFormatting sqref="F120:F121">
    <cfRule type="duplicateValues" dxfId="1947" priority="4700"/>
    <cfRule type="duplicateValues" dxfId="1946" priority="4701"/>
  </conditionalFormatting>
  <conditionalFormatting sqref="F121:F122">
    <cfRule type="duplicateValues" dxfId="1945" priority="4584"/>
    <cfRule type="duplicateValues" dxfId="1944" priority="4585"/>
    <cfRule type="duplicateValues" dxfId="1943" priority="4586"/>
    <cfRule type="duplicateValues" dxfId="1942" priority="4587"/>
    <cfRule type="duplicateValues" dxfId="1941" priority="4588"/>
    <cfRule type="duplicateValues" dxfId="1940" priority="4589"/>
    <cfRule type="duplicateValues" dxfId="1939" priority="4590"/>
    <cfRule type="duplicateValues" dxfId="1938" priority="4591"/>
    <cfRule type="duplicateValues" dxfId="1937" priority="4592"/>
    <cfRule type="duplicateValues" dxfId="1936" priority="4593"/>
    <cfRule type="duplicateValues" dxfId="1935" priority="4594"/>
    <cfRule type="duplicateValues" dxfId="1934" priority="4595"/>
    <cfRule type="duplicateValues" dxfId="1933" priority="4596"/>
    <cfRule type="duplicateValues" dxfId="1932" priority="4597"/>
    <cfRule type="duplicateValues" dxfId="1931" priority="4598"/>
    <cfRule type="duplicateValues" dxfId="1930" priority="4599"/>
    <cfRule type="duplicateValues" dxfId="1929" priority="4600"/>
    <cfRule type="duplicateValues" dxfId="1928" priority="4601"/>
  </conditionalFormatting>
  <conditionalFormatting sqref="F122:F123">
    <cfRule type="duplicateValues" dxfId="1927" priority="4383"/>
    <cfRule type="duplicateValues" dxfId="1926" priority="4384"/>
    <cfRule type="duplicateValues" dxfId="1925" priority="4385"/>
    <cfRule type="duplicateValues" dxfId="1924" priority="4386"/>
    <cfRule type="duplicateValues" dxfId="1923" priority="4387"/>
    <cfRule type="duplicateValues" dxfId="1922" priority="4388"/>
    <cfRule type="duplicateValues" dxfId="1921" priority="4389"/>
    <cfRule type="duplicateValues" dxfId="1920" priority="4390"/>
    <cfRule type="duplicateValues" dxfId="1919" priority="4391"/>
    <cfRule type="duplicateValues" dxfId="1918" priority="4392"/>
    <cfRule type="duplicateValues" dxfId="1917" priority="4393"/>
    <cfRule type="duplicateValues" dxfId="1916" priority="4394"/>
    <cfRule type="duplicateValues" dxfId="1915" priority="4395"/>
    <cfRule type="duplicateValues" dxfId="1914" priority="4396"/>
    <cfRule type="duplicateValues" dxfId="1913" priority="4397"/>
    <cfRule type="duplicateValues" dxfId="1912" priority="4398"/>
    <cfRule type="duplicateValues" dxfId="1911" priority="4399"/>
    <cfRule type="duplicateValues" dxfId="1910" priority="4400"/>
    <cfRule type="duplicateValues" dxfId="1909" priority="4401"/>
    <cfRule type="duplicateValues" dxfId="1908" priority="4402"/>
    <cfRule type="duplicateValues" dxfId="1907" priority="4403"/>
    <cfRule type="duplicateValues" dxfId="1906" priority="4404"/>
    <cfRule type="duplicateValues" dxfId="1905" priority="4405"/>
    <cfRule type="duplicateValues" dxfId="1904" priority="4406"/>
    <cfRule type="duplicateValues" dxfId="1903" priority="4407"/>
    <cfRule type="duplicateValues" dxfId="1902" priority="4408"/>
    <cfRule type="duplicateValues" dxfId="1901" priority="4409"/>
    <cfRule type="duplicateValues" dxfId="1900" priority="4410"/>
  </conditionalFormatting>
  <conditionalFormatting sqref="F123:F124">
    <cfRule type="duplicateValues" dxfId="1899" priority="4704"/>
  </conditionalFormatting>
  <conditionalFormatting sqref="F124:F125">
    <cfRule type="duplicateValues" dxfId="1898" priority="4646"/>
    <cfRule type="duplicateValues" dxfId="1897" priority="4647"/>
    <cfRule type="duplicateValues" dxfId="1896" priority="4648"/>
    <cfRule type="duplicateValues" dxfId="1895" priority="4649"/>
    <cfRule type="duplicateValues" dxfId="1894" priority="4650"/>
    <cfRule type="duplicateValues" dxfId="1893" priority="4651"/>
    <cfRule type="duplicateValues" dxfId="1892" priority="4652"/>
    <cfRule type="duplicateValues" dxfId="1891" priority="4653"/>
  </conditionalFormatting>
  <conditionalFormatting sqref="F125:F126">
    <cfRule type="duplicateValues" dxfId="1890" priority="4535"/>
    <cfRule type="duplicateValues" dxfId="1889" priority="4536"/>
    <cfRule type="duplicateValues" dxfId="1888" priority="4537"/>
    <cfRule type="duplicateValues" dxfId="1887" priority="4538"/>
    <cfRule type="duplicateValues" dxfId="1886" priority="4539"/>
    <cfRule type="duplicateValues" dxfId="1885" priority="4540"/>
  </conditionalFormatting>
  <conditionalFormatting sqref="F126:F127">
    <cfRule type="duplicateValues" dxfId="1884" priority="4727"/>
  </conditionalFormatting>
  <conditionalFormatting sqref="F127:F128">
    <cfRule type="duplicateValues" dxfId="1883" priority="4695"/>
    <cfRule type="duplicateValues" dxfId="1882" priority="4696"/>
    <cfRule type="duplicateValues" dxfId="1881" priority="4697"/>
  </conditionalFormatting>
  <conditionalFormatting sqref="F128:F129">
    <cfRule type="duplicateValues" dxfId="1880" priority="4705"/>
    <cfRule type="duplicateValues" dxfId="1879" priority="4706"/>
  </conditionalFormatting>
  <conditionalFormatting sqref="F129:F130">
    <cfRule type="duplicateValues" dxfId="1878" priority="4656"/>
    <cfRule type="duplicateValues" dxfId="1877" priority="4657"/>
    <cfRule type="duplicateValues" dxfId="1876" priority="4658"/>
    <cfRule type="duplicateValues" dxfId="1875" priority="4659"/>
    <cfRule type="duplicateValues" dxfId="1874" priority="4660"/>
    <cfRule type="duplicateValues" dxfId="1873" priority="4661"/>
    <cfRule type="duplicateValues" dxfId="1872" priority="4662"/>
    <cfRule type="duplicateValues" dxfId="1871" priority="4663"/>
    <cfRule type="duplicateValues" dxfId="1870" priority="4664"/>
    <cfRule type="duplicateValues" dxfId="1869" priority="4665"/>
  </conditionalFormatting>
  <conditionalFormatting sqref="G5">
    <cfRule type="duplicateValues" dxfId="1868" priority="1893"/>
    <cfRule type="duplicateValues" dxfId="1867" priority="1894"/>
    <cfRule type="duplicateValues" dxfId="1866" priority="1895"/>
    <cfRule type="duplicateValues" dxfId="1865" priority="1896"/>
    <cfRule type="duplicateValues" dxfId="1864" priority="1897"/>
    <cfRule type="duplicateValues" dxfId="1863" priority="1898"/>
    <cfRule type="duplicateValues" dxfId="1862" priority="1899"/>
    <cfRule type="duplicateValues" dxfId="1861" priority="1900"/>
    <cfRule type="duplicateValues" dxfId="1860" priority="1901"/>
    <cfRule type="duplicateValues" dxfId="1859" priority="1902"/>
    <cfRule type="duplicateValues" dxfId="1858" priority="1903"/>
    <cfRule type="duplicateValues" dxfId="1857" priority="1904"/>
    <cfRule type="duplicateValues" dxfId="1856" priority="1905"/>
    <cfRule type="duplicateValues" dxfId="1855" priority="1906"/>
    <cfRule type="duplicateValues" dxfId="1854" priority="1907"/>
    <cfRule type="duplicateValues" dxfId="1853" priority="1908"/>
    <cfRule type="duplicateValues" dxfId="1852" priority="1909"/>
    <cfRule type="duplicateValues" dxfId="1851" priority="1910"/>
    <cfRule type="duplicateValues" dxfId="1850" priority="1911"/>
    <cfRule type="duplicateValues" dxfId="1849" priority="1912"/>
    <cfRule type="duplicateValues" dxfId="1848" priority="1913"/>
  </conditionalFormatting>
  <conditionalFormatting sqref="G6:G24">
    <cfRule type="duplicateValues" dxfId="1847" priority="2733"/>
    <cfRule type="duplicateValues" dxfId="1846" priority="2734"/>
    <cfRule type="duplicateValues" dxfId="1845" priority="2735"/>
    <cfRule type="duplicateValues" dxfId="1844" priority="2736"/>
    <cfRule type="duplicateValues" dxfId="1843" priority="2737"/>
    <cfRule type="duplicateValues" dxfId="1842" priority="2738"/>
    <cfRule type="duplicateValues" dxfId="1841" priority="2739"/>
    <cfRule type="duplicateValues" dxfId="1840" priority="2740"/>
    <cfRule type="duplicateValues" dxfId="1839" priority="2741"/>
    <cfRule type="duplicateValues" dxfId="1838" priority="2742"/>
    <cfRule type="duplicateValues" dxfId="1837" priority="2743"/>
    <cfRule type="duplicateValues" dxfId="1836" priority="2744"/>
    <cfRule type="duplicateValues" dxfId="1835" priority="2745"/>
    <cfRule type="duplicateValues" dxfId="1834" priority="2746"/>
    <cfRule type="duplicateValues" dxfId="1833" priority="2747"/>
    <cfRule type="duplicateValues" dxfId="1832" priority="2748"/>
    <cfRule type="duplicateValues" dxfId="1831" priority="2749"/>
    <cfRule type="duplicateValues" dxfId="1830" priority="2750"/>
    <cfRule type="duplicateValues" dxfId="1829" priority="2751"/>
    <cfRule type="duplicateValues" dxfId="1828" priority="2752"/>
    <cfRule type="duplicateValues" dxfId="1827" priority="2753"/>
    <cfRule type="duplicateValues" dxfId="1826" priority="2754"/>
    <cfRule type="duplicateValues" dxfId="1825" priority="2755"/>
    <cfRule type="duplicateValues" dxfId="1824" priority="2756"/>
    <cfRule type="duplicateValues" dxfId="1823" priority="2757"/>
    <cfRule type="duplicateValues" dxfId="1822" priority="2758"/>
    <cfRule type="duplicateValues" dxfId="1821" priority="2759"/>
    <cfRule type="duplicateValues" dxfId="1820" priority="2760"/>
    <cfRule type="duplicateValues" dxfId="1819" priority="2761"/>
    <cfRule type="duplicateValues" dxfId="1818" priority="2762"/>
    <cfRule type="duplicateValues" dxfId="1817" priority="2763"/>
    <cfRule type="duplicateValues" dxfId="1816" priority="2764"/>
    <cfRule type="duplicateValues" dxfId="1815" priority="2765"/>
    <cfRule type="duplicateValues" dxfId="1814" priority="2766"/>
    <cfRule type="duplicateValues" dxfId="1813" priority="2767"/>
    <cfRule type="duplicateValues" dxfId="1812" priority="2768"/>
  </conditionalFormatting>
  <conditionalFormatting sqref="G25">
    <cfRule type="duplicateValues" dxfId="1811" priority="506"/>
    <cfRule type="duplicateValues" dxfId="1810" priority="507"/>
    <cfRule type="duplicateValues" dxfId="1809" priority="508"/>
    <cfRule type="duplicateValues" dxfId="1808" priority="512"/>
    <cfRule type="duplicateValues" dxfId="1807" priority="513"/>
    <cfRule type="duplicateValues" dxfId="1806" priority="514"/>
    <cfRule type="duplicateValues" dxfId="1805" priority="515"/>
    <cfRule type="duplicateValues" dxfId="1804" priority="516"/>
    <cfRule type="duplicateValues" dxfId="1803" priority="517"/>
  </conditionalFormatting>
  <conditionalFormatting sqref="G25:G26">
    <cfRule type="duplicateValues" dxfId="1802" priority="496"/>
    <cfRule type="duplicateValues" dxfId="1801" priority="497"/>
    <cfRule type="duplicateValues" dxfId="1800" priority="498"/>
    <cfRule type="duplicateValues" dxfId="1799" priority="499"/>
    <cfRule type="duplicateValues" dxfId="1798" priority="500"/>
    <cfRule type="duplicateValues" dxfId="1797" priority="501"/>
    <cfRule type="duplicateValues" dxfId="1796" priority="502"/>
    <cfRule type="duplicateValues" dxfId="1795" priority="503"/>
    <cfRule type="duplicateValues" dxfId="1794" priority="504"/>
    <cfRule type="duplicateValues" dxfId="1793" priority="505"/>
  </conditionalFormatting>
  <conditionalFormatting sqref="G26">
    <cfRule type="duplicateValues" dxfId="1792" priority="493"/>
    <cfRule type="duplicateValues" dxfId="1791" priority="494"/>
    <cfRule type="duplicateValues" dxfId="1790" priority="495"/>
  </conditionalFormatting>
  <conditionalFormatting sqref="G27">
    <cfRule type="duplicateValues" dxfId="1789" priority="509"/>
    <cfRule type="duplicateValues" dxfId="1788" priority="510"/>
    <cfRule type="duplicateValues" dxfId="1787" priority="511"/>
    <cfRule type="duplicateValues" dxfId="1786" priority="518"/>
  </conditionalFormatting>
  <conditionalFormatting sqref="G27:G28">
    <cfRule type="duplicateValues" dxfId="1785" priority="485"/>
    <cfRule type="duplicateValues" dxfId="1784" priority="486"/>
    <cfRule type="duplicateValues" dxfId="1783" priority="487"/>
    <cfRule type="duplicateValues" dxfId="1782" priority="488"/>
    <cfRule type="duplicateValues" dxfId="1781" priority="489"/>
    <cfRule type="duplicateValues" dxfId="1780" priority="490"/>
    <cfRule type="duplicateValues" dxfId="1779" priority="491"/>
    <cfRule type="duplicateValues" dxfId="1778" priority="492"/>
  </conditionalFormatting>
  <conditionalFormatting sqref="G28:G29">
    <cfRule type="duplicateValues" dxfId="1777" priority="469"/>
    <cfRule type="duplicateValues" dxfId="1776" priority="470"/>
    <cfRule type="duplicateValues" dxfId="1775" priority="471"/>
    <cfRule type="duplicateValues" dxfId="1774" priority="472"/>
    <cfRule type="duplicateValues" dxfId="1773" priority="473"/>
    <cfRule type="duplicateValues" dxfId="1772" priority="474"/>
    <cfRule type="duplicateValues" dxfId="1771" priority="475"/>
    <cfRule type="duplicateValues" dxfId="1770" priority="476"/>
    <cfRule type="duplicateValues" dxfId="1769" priority="477"/>
    <cfRule type="duplicateValues" dxfId="1768" priority="478"/>
    <cfRule type="duplicateValues" dxfId="1767" priority="479"/>
    <cfRule type="duplicateValues" dxfId="1766" priority="480"/>
    <cfRule type="duplicateValues" dxfId="1765" priority="481"/>
    <cfRule type="duplicateValues" dxfId="1764" priority="482"/>
    <cfRule type="duplicateValues" dxfId="1763" priority="483"/>
    <cfRule type="duplicateValues" dxfId="1762" priority="484"/>
  </conditionalFormatting>
  <conditionalFormatting sqref="G30:G39">
    <cfRule type="duplicateValues" dxfId="1761" priority="2863"/>
    <cfRule type="duplicateValues" dxfId="1760" priority="2864"/>
    <cfRule type="duplicateValues" dxfId="1759" priority="2865"/>
    <cfRule type="duplicateValues" dxfId="1758" priority="2866"/>
    <cfRule type="duplicateValues" dxfId="1757" priority="2867"/>
    <cfRule type="duplicateValues" dxfId="1756" priority="2868"/>
    <cfRule type="duplicateValues" dxfId="1755" priority="2869"/>
    <cfRule type="duplicateValues" dxfId="1754" priority="2870"/>
    <cfRule type="duplicateValues" dxfId="1753" priority="2871"/>
    <cfRule type="duplicateValues" dxfId="1752" priority="2872"/>
    <cfRule type="duplicateValues" dxfId="1751" priority="2873"/>
    <cfRule type="duplicateValues" dxfId="1750" priority="2874"/>
    <cfRule type="duplicateValues" dxfId="1749" priority="2875"/>
    <cfRule type="duplicateValues" dxfId="1748" priority="2876"/>
    <cfRule type="duplicateValues" dxfId="1747" priority="2877"/>
    <cfRule type="duplicateValues" dxfId="1746" priority="2878"/>
    <cfRule type="duplicateValues" dxfId="1745" priority="2879"/>
  </conditionalFormatting>
  <conditionalFormatting sqref="G40">
    <cfRule type="duplicateValues" dxfId="1744" priority="332"/>
    <cfRule type="duplicateValues" dxfId="1743" priority="333"/>
    <cfRule type="duplicateValues" dxfId="1742" priority="334"/>
    <cfRule type="duplicateValues" dxfId="1741" priority="335"/>
    <cfRule type="duplicateValues" dxfId="1740" priority="336"/>
    <cfRule type="duplicateValues" dxfId="1739" priority="337"/>
    <cfRule type="duplicateValues" dxfId="1738" priority="338"/>
    <cfRule type="duplicateValues" dxfId="1737" priority="339"/>
    <cfRule type="duplicateValues" dxfId="1736" priority="340"/>
    <cfRule type="duplicateValues" dxfId="1735" priority="341"/>
    <cfRule type="duplicateValues" dxfId="1734" priority="342"/>
    <cfRule type="duplicateValues" dxfId="1733" priority="343"/>
    <cfRule type="duplicateValues" dxfId="1732" priority="344"/>
  </conditionalFormatting>
  <conditionalFormatting sqref="G41:G42">
    <cfRule type="duplicateValues" dxfId="1731" priority="358"/>
    <cfRule type="duplicateValues" dxfId="1730" priority="359"/>
    <cfRule type="duplicateValues" dxfId="1729" priority="360"/>
    <cfRule type="duplicateValues" dxfId="1728" priority="361"/>
    <cfRule type="duplicateValues" dxfId="1727" priority="362"/>
    <cfRule type="duplicateValues" dxfId="1726" priority="363"/>
    <cfRule type="duplicateValues" dxfId="1725" priority="364"/>
    <cfRule type="duplicateValues" dxfId="1724" priority="365"/>
    <cfRule type="duplicateValues" dxfId="1723" priority="366"/>
    <cfRule type="duplicateValues" dxfId="1722" priority="367"/>
    <cfRule type="duplicateValues" dxfId="1721" priority="368"/>
    <cfRule type="duplicateValues" dxfId="1720" priority="369"/>
    <cfRule type="duplicateValues" dxfId="1719" priority="370"/>
    <cfRule type="duplicateValues" dxfId="1718" priority="371"/>
    <cfRule type="duplicateValues" dxfId="1717" priority="372"/>
    <cfRule type="duplicateValues" dxfId="1716" priority="373"/>
    <cfRule type="duplicateValues" dxfId="1715" priority="374"/>
  </conditionalFormatting>
  <conditionalFormatting sqref="G43">
    <cfRule type="duplicateValues" dxfId="1714" priority="291"/>
    <cfRule type="duplicateValues" dxfId="1713" priority="292"/>
    <cfRule type="duplicateValues" dxfId="1712" priority="293"/>
    <cfRule type="duplicateValues" dxfId="1711" priority="297"/>
    <cfRule type="duplicateValues" dxfId="1710" priority="298"/>
    <cfRule type="duplicateValues" dxfId="1709" priority="299"/>
    <cfRule type="duplicateValues" dxfId="1708" priority="300"/>
    <cfRule type="duplicateValues" dxfId="1707" priority="301"/>
    <cfRule type="duplicateValues" dxfId="1706" priority="302"/>
  </conditionalFormatting>
  <conditionalFormatting sqref="G43:G44">
    <cfRule type="duplicateValues" dxfId="1705" priority="281"/>
    <cfRule type="duplicateValues" dxfId="1704" priority="282"/>
    <cfRule type="duplicateValues" dxfId="1703" priority="283"/>
    <cfRule type="duplicateValues" dxfId="1702" priority="284"/>
    <cfRule type="duplicateValues" dxfId="1701" priority="285"/>
    <cfRule type="duplicateValues" dxfId="1700" priority="286"/>
    <cfRule type="duplicateValues" dxfId="1699" priority="287"/>
    <cfRule type="duplicateValues" dxfId="1698" priority="288"/>
    <cfRule type="duplicateValues" dxfId="1697" priority="289"/>
    <cfRule type="duplicateValues" dxfId="1696" priority="290"/>
  </conditionalFormatting>
  <conditionalFormatting sqref="G44">
    <cfRule type="duplicateValues" dxfId="1695" priority="278"/>
    <cfRule type="duplicateValues" dxfId="1694" priority="279"/>
    <cfRule type="duplicateValues" dxfId="1693" priority="280"/>
  </conditionalFormatting>
  <conditionalFormatting sqref="G45">
    <cfRule type="duplicateValues" dxfId="1692" priority="294"/>
    <cfRule type="duplicateValues" dxfId="1691" priority="295"/>
    <cfRule type="duplicateValues" dxfId="1690" priority="296"/>
    <cfRule type="duplicateValues" dxfId="1689" priority="303"/>
  </conditionalFormatting>
  <conditionalFormatting sqref="G45:G46">
    <cfRule type="duplicateValues" dxfId="1688" priority="270"/>
    <cfRule type="duplicateValues" dxfId="1687" priority="271"/>
    <cfRule type="duplicateValues" dxfId="1686" priority="272"/>
    <cfRule type="duplicateValues" dxfId="1685" priority="273"/>
    <cfRule type="duplicateValues" dxfId="1684" priority="274"/>
    <cfRule type="duplicateValues" dxfId="1683" priority="275"/>
    <cfRule type="duplicateValues" dxfId="1682" priority="276"/>
    <cfRule type="duplicateValues" dxfId="1681" priority="277"/>
  </conditionalFormatting>
  <conditionalFormatting sqref="G46">
    <cfRule type="duplicateValues" dxfId="1680" priority="254"/>
    <cfRule type="duplicateValues" dxfId="1679" priority="255"/>
    <cfRule type="duplicateValues" dxfId="1678" priority="256"/>
    <cfRule type="duplicateValues" dxfId="1677" priority="257"/>
    <cfRule type="duplicateValues" dxfId="1676" priority="258"/>
    <cfRule type="duplicateValues" dxfId="1675" priority="259"/>
    <cfRule type="duplicateValues" dxfId="1674" priority="260"/>
    <cfRule type="duplicateValues" dxfId="1673" priority="261"/>
    <cfRule type="duplicateValues" dxfId="1672" priority="262"/>
    <cfRule type="duplicateValues" dxfId="1671" priority="263"/>
    <cfRule type="duplicateValues" dxfId="1670" priority="264"/>
    <cfRule type="duplicateValues" dxfId="1669" priority="265"/>
    <cfRule type="duplicateValues" dxfId="1668" priority="266"/>
    <cfRule type="duplicateValues" dxfId="1667" priority="267"/>
    <cfRule type="duplicateValues" dxfId="1666" priority="268"/>
    <cfRule type="duplicateValues" dxfId="1665" priority="269"/>
  </conditionalFormatting>
  <conditionalFormatting sqref="G50">
    <cfRule type="duplicateValues" dxfId="1664" priority="159"/>
    <cfRule type="duplicateValues" dxfId="1663" priority="160"/>
    <cfRule type="duplicateValues" dxfId="1662" priority="161"/>
    <cfRule type="duplicateValues" dxfId="1661" priority="162"/>
    <cfRule type="duplicateValues" dxfId="1660" priority="163"/>
    <cfRule type="duplicateValues" dxfId="1659" priority="164"/>
    <cfRule type="duplicateValues" dxfId="1658" priority="165"/>
    <cfRule type="duplicateValues" dxfId="1657" priority="166"/>
    <cfRule type="duplicateValues" dxfId="1656" priority="167"/>
    <cfRule type="duplicateValues" dxfId="1655" priority="168"/>
    <cfRule type="duplicateValues" dxfId="1654" priority="169"/>
    <cfRule type="duplicateValues" dxfId="1653" priority="170"/>
    <cfRule type="duplicateValues" dxfId="1652" priority="171"/>
  </conditionalFormatting>
  <conditionalFormatting sqref="G51">
    <cfRule type="duplicateValues" dxfId="1651" priority="154"/>
    <cfRule type="duplicateValues" dxfId="1650" priority="155"/>
    <cfRule type="duplicateValues" dxfId="1649" priority="156"/>
    <cfRule type="duplicateValues" dxfId="1648" priority="157"/>
    <cfRule type="duplicateValues" dxfId="1647" priority="158"/>
  </conditionalFormatting>
  <conditionalFormatting sqref="G52">
    <cfRule type="duplicateValues" dxfId="1646" priority="131"/>
    <cfRule type="duplicateValues" dxfId="1645" priority="132"/>
    <cfRule type="duplicateValues" dxfId="1644" priority="133"/>
    <cfRule type="duplicateValues" dxfId="1643" priority="134"/>
  </conditionalFormatting>
  <conditionalFormatting sqref="G53">
    <cfRule type="duplicateValues" dxfId="1642" priority="90"/>
    <cfRule type="duplicateValues" dxfId="1641" priority="91"/>
    <cfRule type="duplicateValues" dxfId="1640" priority="92"/>
    <cfRule type="duplicateValues" dxfId="1639" priority="93"/>
    <cfRule type="duplicateValues" dxfId="1638" priority="94"/>
    <cfRule type="duplicateValues" dxfId="1637" priority="95"/>
    <cfRule type="duplicateValues" dxfId="1636" priority="96"/>
    <cfRule type="duplicateValues" dxfId="1635" priority="97"/>
    <cfRule type="duplicateValues" dxfId="1634" priority="98"/>
    <cfRule type="duplicateValues" dxfId="1633" priority="99"/>
    <cfRule type="duplicateValues" dxfId="1632" priority="100"/>
  </conditionalFormatting>
  <conditionalFormatting sqref="G54">
    <cfRule type="duplicateValues" dxfId="1631" priority="127"/>
    <cfRule type="duplicateValues" dxfId="1630" priority="128"/>
    <cfRule type="duplicateValues" dxfId="1629" priority="129"/>
    <cfRule type="duplicateValues" dxfId="1628" priority="130"/>
  </conditionalFormatting>
  <conditionalFormatting sqref="G55">
    <cfRule type="duplicateValues" dxfId="1627" priority="120"/>
    <cfRule type="duplicateValues" dxfId="1626" priority="121"/>
    <cfRule type="duplicateValues" dxfId="1625" priority="122"/>
    <cfRule type="duplicateValues" dxfId="1624" priority="123"/>
    <cfRule type="duplicateValues" dxfId="1623" priority="124"/>
    <cfRule type="duplicateValues" dxfId="1622" priority="125"/>
    <cfRule type="duplicateValues" dxfId="1621" priority="126"/>
  </conditionalFormatting>
  <conditionalFormatting sqref="G4:H4">
    <cfRule type="duplicateValues" dxfId="1620" priority="3034"/>
  </conditionalFormatting>
  <conditionalFormatting sqref="G47:H47">
    <cfRule type="duplicateValues" dxfId="1619" priority="2385"/>
    <cfRule type="duplicateValues" dxfId="1618" priority="2386"/>
    <cfRule type="duplicateValues" dxfId="1617" priority="2387"/>
    <cfRule type="duplicateValues" dxfId="1616" priority="2388"/>
    <cfRule type="duplicateValues" dxfId="1615" priority="2389"/>
    <cfRule type="duplicateValues" dxfId="1614" priority="2390"/>
    <cfRule type="duplicateValues" dxfId="1613" priority="2391"/>
    <cfRule type="duplicateValues" dxfId="1612" priority="2392"/>
    <cfRule type="duplicateValues" dxfId="1611" priority="2393"/>
    <cfRule type="duplicateValues" dxfId="1610" priority="2394"/>
    <cfRule type="duplicateValues" dxfId="1609" priority="2395"/>
    <cfRule type="duplicateValues" dxfId="1608" priority="2396"/>
    <cfRule type="duplicateValues" dxfId="1607" priority="2397"/>
    <cfRule type="duplicateValues" dxfId="1606" priority="2398"/>
    <cfRule type="duplicateValues" dxfId="1605" priority="2399"/>
    <cfRule type="duplicateValues" dxfId="1604" priority="2400"/>
    <cfRule type="duplicateValues" dxfId="1603" priority="2401"/>
    <cfRule type="duplicateValues" dxfId="1602" priority="2402"/>
    <cfRule type="duplicateValues" dxfId="1601" priority="2403"/>
  </conditionalFormatting>
  <conditionalFormatting sqref="G48:H48 G49 G56:G57">
    <cfRule type="duplicateValues" dxfId="1600" priority="2889"/>
    <cfRule type="duplicateValues" dxfId="1599" priority="2890"/>
    <cfRule type="duplicateValues" dxfId="1598" priority="2891"/>
    <cfRule type="duplicateValues" dxfId="1597" priority="2892"/>
    <cfRule type="duplicateValues" dxfId="1596" priority="2893"/>
    <cfRule type="duplicateValues" dxfId="1595" priority="2894"/>
    <cfRule type="duplicateValues" dxfId="1594" priority="2895"/>
    <cfRule type="duplicateValues" dxfId="1593" priority="2896"/>
    <cfRule type="duplicateValues" dxfId="1592" priority="2897"/>
  </conditionalFormatting>
  <conditionalFormatting sqref="G58:H58 G72:H72 H30 G68:H70 G62:H62 H35 H38 G65:H66 H27 H41 G4:H4 G76:H78 H50:H51 G47:H48 H57 G49 H14:H16 H44:H46 G41:G42 G56:G57 G30:G39 H19:H24 G6:G24">
    <cfRule type="duplicateValues" dxfId="1591" priority="2713"/>
  </conditionalFormatting>
  <conditionalFormatting sqref="G58:H58 H30 G65:H66 H41 G68:H70 G62:H62 H38 H35 H27 G72:H72 G76:H78 H50:H51 G47:H48 H57 G49 H14:H16 H44:H46 G41:G42 G56:G57 G30:G39 H19:H24 G6:G24">
    <cfRule type="duplicateValues" dxfId="1590" priority="3035"/>
  </conditionalFormatting>
  <conditionalFormatting sqref="G58:H58">
    <cfRule type="duplicateValues" dxfId="1589" priority="2984"/>
    <cfRule type="duplicateValues" dxfId="1588" priority="2985"/>
    <cfRule type="duplicateValues" dxfId="1587" priority="2986"/>
    <cfRule type="duplicateValues" dxfId="1586" priority="2987"/>
    <cfRule type="duplicateValues" dxfId="1585" priority="2988"/>
  </conditionalFormatting>
  <conditionalFormatting sqref="G59:H59">
    <cfRule type="duplicateValues" dxfId="1584" priority="2316"/>
    <cfRule type="duplicateValues" dxfId="1583" priority="2317"/>
  </conditionalFormatting>
  <conditionalFormatting sqref="G60:H60">
    <cfRule type="duplicateValues" dxfId="1582" priority="2349"/>
    <cfRule type="duplicateValues" dxfId="1581" priority="2350"/>
    <cfRule type="duplicateValues" dxfId="1580" priority="2351"/>
    <cfRule type="duplicateValues" dxfId="1579" priority="2352"/>
    <cfRule type="duplicateValues" dxfId="1578" priority="2353"/>
    <cfRule type="duplicateValues" dxfId="1577" priority="2354"/>
    <cfRule type="duplicateValues" dxfId="1576" priority="2355"/>
    <cfRule type="duplicateValues" dxfId="1575" priority="2356"/>
    <cfRule type="duplicateValues" dxfId="1574" priority="2357"/>
    <cfRule type="duplicateValues" dxfId="1573" priority="2358"/>
    <cfRule type="duplicateValues" dxfId="1572" priority="2359"/>
    <cfRule type="duplicateValues" dxfId="1571" priority="2360"/>
    <cfRule type="duplicateValues" dxfId="1570" priority="2361"/>
    <cfRule type="duplicateValues" dxfId="1569" priority="2362"/>
    <cfRule type="duplicateValues" dxfId="1568" priority="2363"/>
    <cfRule type="duplicateValues" dxfId="1567" priority="2364"/>
    <cfRule type="duplicateValues" dxfId="1566" priority="2365"/>
    <cfRule type="duplicateValues" dxfId="1565" priority="2366"/>
    <cfRule type="duplicateValues" dxfId="1564" priority="2367"/>
  </conditionalFormatting>
  <conditionalFormatting sqref="G61:H61">
    <cfRule type="duplicateValues" dxfId="1563" priority="2336"/>
    <cfRule type="duplicateValues" dxfId="1562" priority="2337"/>
    <cfRule type="duplicateValues" dxfId="1561" priority="2338"/>
    <cfRule type="duplicateValues" dxfId="1560" priority="2339"/>
    <cfRule type="duplicateValues" dxfId="1559" priority="2340"/>
    <cfRule type="duplicateValues" dxfId="1558" priority="2341"/>
    <cfRule type="duplicateValues" dxfId="1557" priority="2342"/>
    <cfRule type="duplicateValues" dxfId="1556" priority="2343"/>
    <cfRule type="duplicateValues" dxfId="1555" priority="2344"/>
    <cfRule type="duplicateValues" dxfId="1554" priority="2345"/>
    <cfRule type="duplicateValues" dxfId="1553" priority="2346"/>
    <cfRule type="duplicateValues" dxfId="1552" priority="2347"/>
    <cfRule type="duplicateValues" dxfId="1551" priority="2348"/>
  </conditionalFormatting>
  <conditionalFormatting sqref="G62:H62">
    <cfRule type="duplicateValues" dxfId="1550" priority="2958"/>
    <cfRule type="duplicateValues" dxfId="1549" priority="2959"/>
    <cfRule type="duplicateValues" dxfId="1548" priority="2960"/>
    <cfRule type="duplicateValues" dxfId="1547" priority="2961"/>
    <cfRule type="duplicateValues" dxfId="1546" priority="2962"/>
    <cfRule type="duplicateValues" dxfId="1545" priority="2963"/>
    <cfRule type="duplicateValues" dxfId="1544" priority="2964"/>
    <cfRule type="duplicateValues" dxfId="1543" priority="2965"/>
    <cfRule type="duplicateValues" dxfId="1542" priority="2966"/>
    <cfRule type="duplicateValues" dxfId="1541" priority="2967"/>
    <cfRule type="duplicateValues" dxfId="1540" priority="2968"/>
    <cfRule type="duplicateValues" dxfId="1539" priority="2969"/>
  </conditionalFormatting>
  <conditionalFormatting sqref="G63:H63">
    <cfRule type="duplicateValues" dxfId="1538" priority="2686"/>
    <cfRule type="duplicateValues" dxfId="1537" priority="2687"/>
    <cfRule type="duplicateValues" dxfId="1536" priority="2688"/>
    <cfRule type="duplicateValues" dxfId="1535" priority="2689"/>
    <cfRule type="duplicateValues" dxfId="1534" priority="2690"/>
    <cfRule type="duplicateValues" dxfId="1533" priority="2691"/>
    <cfRule type="duplicateValues" dxfId="1532" priority="2692"/>
  </conditionalFormatting>
  <conditionalFormatting sqref="G64:H64">
    <cfRule type="duplicateValues" dxfId="1531" priority="2404"/>
    <cfRule type="duplicateValues" dxfId="1530" priority="2405"/>
    <cfRule type="duplicateValues" dxfId="1529" priority="2406"/>
    <cfRule type="duplicateValues" dxfId="1528" priority="2407"/>
    <cfRule type="duplicateValues" dxfId="1527" priority="2408"/>
    <cfRule type="duplicateValues" dxfId="1526" priority="2409"/>
    <cfRule type="duplicateValues" dxfId="1525" priority="2410"/>
    <cfRule type="duplicateValues" dxfId="1524" priority="2411"/>
    <cfRule type="duplicateValues" dxfId="1523" priority="2412"/>
    <cfRule type="duplicateValues" dxfId="1522" priority="2413"/>
    <cfRule type="duplicateValues" dxfId="1521" priority="2414"/>
    <cfRule type="duplicateValues" dxfId="1520" priority="2415"/>
    <cfRule type="duplicateValues" dxfId="1519" priority="2416"/>
    <cfRule type="duplicateValues" dxfId="1518" priority="2417"/>
    <cfRule type="duplicateValues" dxfId="1517" priority="2418"/>
    <cfRule type="duplicateValues" dxfId="1516" priority="2419"/>
    <cfRule type="duplicateValues" dxfId="1515" priority="2420"/>
    <cfRule type="duplicateValues" dxfId="1514" priority="2421"/>
    <cfRule type="duplicateValues" dxfId="1513" priority="2422"/>
    <cfRule type="duplicateValues" dxfId="1512" priority="2423"/>
    <cfRule type="duplicateValues" dxfId="1511" priority="2424"/>
    <cfRule type="duplicateValues" dxfId="1510" priority="2425"/>
    <cfRule type="duplicateValues" dxfId="1509" priority="2426"/>
    <cfRule type="duplicateValues" dxfId="1508" priority="2427"/>
    <cfRule type="duplicateValues" dxfId="1507" priority="2428"/>
    <cfRule type="duplicateValues" dxfId="1506" priority="2429"/>
    <cfRule type="duplicateValues" dxfId="1505" priority="2430"/>
    <cfRule type="duplicateValues" dxfId="1504" priority="2431"/>
    <cfRule type="duplicateValues" dxfId="1503" priority="2432"/>
    <cfRule type="duplicateValues" dxfId="1502" priority="2433"/>
    <cfRule type="duplicateValues" dxfId="1501" priority="2434"/>
    <cfRule type="duplicateValues" dxfId="1500" priority="2435"/>
    <cfRule type="duplicateValues" dxfId="1499" priority="2436"/>
    <cfRule type="duplicateValues" dxfId="1498" priority="2437"/>
    <cfRule type="duplicateValues" dxfId="1497" priority="2438"/>
  </conditionalFormatting>
  <conditionalFormatting sqref="G65:H65">
    <cfRule type="duplicateValues" dxfId="1496" priority="2918"/>
    <cfRule type="duplicateValues" dxfId="1495" priority="2919"/>
    <cfRule type="duplicateValues" dxfId="1494" priority="2920"/>
    <cfRule type="duplicateValues" dxfId="1493" priority="2921"/>
    <cfRule type="duplicateValues" dxfId="1492" priority="2922"/>
    <cfRule type="duplicateValues" dxfId="1491" priority="2923"/>
    <cfRule type="duplicateValues" dxfId="1490" priority="2924"/>
    <cfRule type="duplicateValues" dxfId="1489" priority="2925"/>
  </conditionalFormatting>
  <conditionalFormatting sqref="G66:H66">
    <cfRule type="duplicateValues" dxfId="1488" priority="2908"/>
    <cfRule type="duplicateValues" dxfId="1487" priority="2909"/>
    <cfRule type="duplicateValues" dxfId="1486" priority="2910"/>
    <cfRule type="duplicateValues" dxfId="1485" priority="2911"/>
    <cfRule type="duplicateValues" dxfId="1484" priority="2912"/>
    <cfRule type="duplicateValues" dxfId="1483" priority="2913"/>
  </conditionalFormatting>
  <conditionalFormatting sqref="G67:H67">
    <cfRule type="duplicateValues" dxfId="1482" priority="2564"/>
    <cfRule type="duplicateValues" dxfId="1481" priority="2565"/>
    <cfRule type="duplicateValues" dxfId="1480" priority="2566"/>
    <cfRule type="duplicateValues" dxfId="1479" priority="2567"/>
    <cfRule type="duplicateValues" dxfId="1478" priority="2568"/>
    <cfRule type="duplicateValues" dxfId="1477" priority="2569"/>
    <cfRule type="duplicateValues" dxfId="1476" priority="2570"/>
    <cfRule type="duplicateValues" dxfId="1475" priority="2571"/>
    <cfRule type="duplicateValues" dxfId="1474" priority="2572"/>
    <cfRule type="duplicateValues" dxfId="1473" priority="2573"/>
    <cfRule type="duplicateValues" dxfId="1472" priority="2574"/>
    <cfRule type="duplicateValues" dxfId="1471" priority="2575"/>
    <cfRule type="duplicateValues" dxfId="1470" priority="2576"/>
  </conditionalFormatting>
  <conditionalFormatting sqref="G68:H68">
    <cfRule type="duplicateValues" dxfId="1469" priority="3022"/>
    <cfRule type="duplicateValues" dxfId="1468" priority="3023"/>
  </conditionalFormatting>
  <conditionalFormatting sqref="G69:H69">
    <cfRule type="duplicateValues" dxfId="1467" priority="2940"/>
    <cfRule type="duplicateValues" dxfId="1466" priority="2941"/>
    <cfRule type="duplicateValues" dxfId="1465" priority="2942"/>
    <cfRule type="duplicateValues" dxfId="1464" priority="2943"/>
    <cfRule type="duplicateValues" dxfId="1463" priority="2944"/>
    <cfRule type="duplicateValues" dxfId="1462" priority="2945"/>
    <cfRule type="duplicateValues" dxfId="1461" priority="2946"/>
    <cfRule type="duplicateValues" dxfId="1460" priority="2947"/>
    <cfRule type="duplicateValues" dxfId="1459" priority="2948"/>
    <cfRule type="duplicateValues" dxfId="1458" priority="2949"/>
    <cfRule type="duplicateValues" dxfId="1457" priority="2950"/>
    <cfRule type="duplicateValues" dxfId="1456" priority="2951"/>
    <cfRule type="duplicateValues" dxfId="1455" priority="2952"/>
    <cfRule type="duplicateValues" dxfId="1454" priority="2953"/>
    <cfRule type="duplicateValues" dxfId="1453" priority="2954"/>
    <cfRule type="duplicateValues" dxfId="1452" priority="2955"/>
    <cfRule type="duplicateValues" dxfId="1451" priority="2956"/>
    <cfRule type="duplicateValues" dxfId="1450" priority="2957"/>
  </conditionalFormatting>
  <conditionalFormatting sqref="G70:H70">
    <cfRule type="duplicateValues" dxfId="1449" priority="2789"/>
    <cfRule type="duplicateValues" dxfId="1448" priority="2790"/>
    <cfRule type="duplicateValues" dxfId="1447" priority="2791"/>
    <cfRule type="duplicateValues" dxfId="1446" priority="2792"/>
    <cfRule type="duplicateValues" dxfId="1445" priority="2793"/>
    <cfRule type="duplicateValues" dxfId="1444" priority="2794"/>
    <cfRule type="duplicateValues" dxfId="1443" priority="2795"/>
    <cfRule type="duplicateValues" dxfId="1442" priority="2796"/>
    <cfRule type="duplicateValues" dxfId="1441" priority="2797"/>
    <cfRule type="duplicateValues" dxfId="1440" priority="2798"/>
    <cfRule type="duplicateValues" dxfId="1439" priority="2799"/>
    <cfRule type="duplicateValues" dxfId="1438" priority="2800"/>
    <cfRule type="duplicateValues" dxfId="1437" priority="2801"/>
    <cfRule type="duplicateValues" dxfId="1436" priority="2802"/>
    <cfRule type="duplicateValues" dxfId="1435" priority="2803"/>
    <cfRule type="duplicateValues" dxfId="1434" priority="2804"/>
    <cfRule type="duplicateValues" dxfId="1433" priority="2805"/>
    <cfRule type="duplicateValues" dxfId="1432" priority="2806"/>
    <cfRule type="duplicateValues" dxfId="1431" priority="2807"/>
    <cfRule type="duplicateValues" dxfId="1430" priority="2808"/>
    <cfRule type="duplicateValues" dxfId="1429" priority="2809"/>
    <cfRule type="duplicateValues" dxfId="1428" priority="2810"/>
    <cfRule type="duplicateValues" dxfId="1427" priority="2811"/>
    <cfRule type="duplicateValues" dxfId="1426" priority="2812"/>
    <cfRule type="duplicateValues" dxfId="1425" priority="2813"/>
    <cfRule type="duplicateValues" dxfId="1424" priority="2814"/>
    <cfRule type="duplicateValues" dxfId="1423" priority="2815"/>
    <cfRule type="duplicateValues" dxfId="1422" priority="2816"/>
  </conditionalFormatting>
  <conditionalFormatting sqref="G71:H71">
    <cfRule type="duplicateValues" dxfId="1421" priority="2629"/>
    <cfRule type="duplicateValues" dxfId="1420" priority="2630"/>
    <cfRule type="duplicateValues" dxfId="1419" priority="2631"/>
    <cfRule type="duplicateValues" dxfId="1418" priority="2632"/>
    <cfRule type="duplicateValues" dxfId="1417" priority="2633"/>
  </conditionalFormatting>
  <conditionalFormatting sqref="G72:H72">
    <cfRule type="duplicateValues" dxfId="1416" priority="2989"/>
    <cfRule type="duplicateValues" dxfId="1415" priority="2990"/>
    <cfRule type="duplicateValues" dxfId="1414" priority="2991"/>
    <cfRule type="duplicateValues" dxfId="1413" priority="2992"/>
    <cfRule type="duplicateValues" dxfId="1412" priority="2993"/>
    <cfRule type="duplicateValues" dxfId="1411" priority="2994"/>
    <cfRule type="duplicateValues" dxfId="1410" priority="2995"/>
    <cfRule type="duplicateValues" dxfId="1409" priority="2996"/>
  </conditionalFormatting>
  <conditionalFormatting sqref="G73:H73">
    <cfRule type="duplicateValues" dxfId="1408" priority="2461"/>
    <cfRule type="duplicateValues" dxfId="1407" priority="2462"/>
    <cfRule type="duplicateValues" dxfId="1406" priority="2463"/>
    <cfRule type="duplicateValues" dxfId="1405" priority="2464"/>
    <cfRule type="duplicateValues" dxfId="1404" priority="2465"/>
    <cfRule type="duplicateValues" dxfId="1403" priority="2466"/>
    <cfRule type="duplicateValues" dxfId="1402" priority="2467"/>
    <cfRule type="duplicateValues" dxfId="1401" priority="2468"/>
    <cfRule type="duplicateValues" dxfId="1400" priority="2469"/>
    <cfRule type="duplicateValues" dxfId="1399" priority="2470"/>
    <cfRule type="duplicateValues" dxfId="1398" priority="2471"/>
    <cfRule type="duplicateValues" dxfId="1397" priority="2472"/>
    <cfRule type="duplicateValues" dxfId="1396" priority="2473"/>
    <cfRule type="duplicateValues" dxfId="1395" priority="2474"/>
    <cfRule type="duplicateValues" dxfId="1394" priority="2475"/>
    <cfRule type="duplicateValues" dxfId="1393" priority="2476"/>
    <cfRule type="duplicateValues" dxfId="1392" priority="2477"/>
    <cfRule type="duplicateValues" dxfId="1391" priority="2478"/>
    <cfRule type="duplicateValues" dxfId="1390" priority="2479"/>
    <cfRule type="duplicateValues" dxfId="1389" priority="2480"/>
    <cfRule type="duplicateValues" dxfId="1388" priority="2481"/>
    <cfRule type="duplicateValues" dxfId="1387" priority="2482"/>
    <cfRule type="duplicateValues" dxfId="1386" priority="2483"/>
    <cfRule type="duplicateValues" dxfId="1385" priority="2484"/>
    <cfRule type="duplicateValues" dxfId="1384" priority="2485"/>
    <cfRule type="duplicateValues" dxfId="1383" priority="2486"/>
    <cfRule type="duplicateValues" dxfId="1382" priority="2487"/>
    <cfRule type="duplicateValues" dxfId="1381" priority="2488"/>
    <cfRule type="duplicateValues" dxfId="1380" priority="2489"/>
    <cfRule type="duplicateValues" dxfId="1379" priority="2490"/>
    <cfRule type="duplicateValues" dxfId="1378" priority="2491"/>
    <cfRule type="duplicateValues" dxfId="1377" priority="2492"/>
    <cfRule type="duplicateValues" dxfId="1376" priority="2493"/>
    <cfRule type="duplicateValues" dxfId="1375" priority="2494"/>
    <cfRule type="duplicateValues" dxfId="1374" priority="2495"/>
    <cfRule type="duplicateValues" dxfId="1373" priority="2496"/>
    <cfRule type="duplicateValues" dxfId="1372" priority="2497"/>
    <cfRule type="duplicateValues" dxfId="1371" priority="2498"/>
    <cfRule type="duplicateValues" dxfId="1370" priority="2499"/>
    <cfRule type="duplicateValues" dxfId="1369" priority="2500"/>
    <cfRule type="duplicateValues" dxfId="1368" priority="2501"/>
    <cfRule type="duplicateValues" dxfId="1367" priority="2502"/>
    <cfRule type="duplicateValues" dxfId="1366" priority="2503"/>
    <cfRule type="duplicateValues" dxfId="1365" priority="2504"/>
    <cfRule type="duplicateValues" dxfId="1364" priority="2505"/>
    <cfRule type="duplicateValues" dxfId="1363" priority="2506"/>
    <cfRule type="duplicateValues" dxfId="1362" priority="2507"/>
    <cfRule type="duplicateValues" dxfId="1361" priority="2508"/>
    <cfRule type="duplicateValues" dxfId="1360" priority="2509"/>
    <cfRule type="duplicateValues" dxfId="1359" priority="2510"/>
    <cfRule type="duplicateValues" dxfId="1358" priority="2511"/>
    <cfRule type="duplicateValues" dxfId="1357" priority="2512"/>
    <cfRule type="duplicateValues" dxfId="1356" priority="2513"/>
    <cfRule type="duplicateValues" dxfId="1355" priority="2514"/>
    <cfRule type="duplicateValues" dxfId="1354" priority="2515"/>
    <cfRule type="duplicateValues" dxfId="1353" priority="2516"/>
  </conditionalFormatting>
  <conditionalFormatting sqref="G74:H74">
    <cfRule type="duplicateValues" dxfId="1352" priority="2594"/>
    <cfRule type="duplicateValues" dxfId="1351" priority="2595"/>
    <cfRule type="duplicateValues" dxfId="1350" priority="2596"/>
  </conditionalFormatting>
  <conditionalFormatting sqref="G75:H75">
    <cfRule type="duplicateValues" dxfId="1349" priority="2376"/>
    <cfRule type="duplicateValues" dxfId="1348" priority="2377"/>
    <cfRule type="duplicateValues" dxfId="1347" priority="2378"/>
    <cfRule type="duplicateValues" dxfId="1346" priority="2379"/>
    <cfRule type="duplicateValues" dxfId="1345" priority="2380"/>
    <cfRule type="duplicateValues" dxfId="1344" priority="2381"/>
    <cfRule type="duplicateValues" dxfId="1343" priority="2382"/>
    <cfRule type="duplicateValues" dxfId="1342" priority="2383"/>
    <cfRule type="duplicateValues" dxfId="1341" priority="2384"/>
  </conditionalFormatting>
  <conditionalFormatting sqref="G76:H78">
    <cfRule type="duplicateValues" dxfId="1340" priority="2997"/>
    <cfRule type="duplicateValues" dxfId="1339" priority="2998"/>
    <cfRule type="duplicateValues" dxfId="1338" priority="2999"/>
    <cfRule type="duplicateValues" dxfId="1337" priority="3000"/>
    <cfRule type="duplicateValues" dxfId="1336" priority="3001"/>
    <cfRule type="duplicateValues" dxfId="1335" priority="3002"/>
    <cfRule type="duplicateValues" dxfId="1334" priority="3003"/>
    <cfRule type="duplicateValues" dxfId="1333" priority="3004"/>
    <cfRule type="duplicateValues" dxfId="1332" priority="3005"/>
    <cfRule type="duplicateValues" dxfId="1331" priority="3006"/>
  </conditionalFormatting>
  <conditionalFormatting sqref="H5">
    <cfRule type="duplicateValues" dxfId="1330" priority="1914"/>
    <cfRule type="duplicateValues" dxfId="1329" priority="1915"/>
  </conditionalFormatting>
  <conditionalFormatting sqref="H6">
    <cfRule type="duplicateValues" dxfId="1328" priority="1887"/>
    <cfRule type="duplicateValues" dxfId="1327" priority="1888"/>
  </conditionalFormatting>
  <conditionalFormatting sqref="H7">
    <cfRule type="duplicateValues" dxfId="1326" priority="1870"/>
    <cfRule type="duplicateValues" dxfId="1325" priority="1871"/>
    <cfRule type="duplicateValues" dxfId="1324" priority="1872"/>
    <cfRule type="duplicateValues" dxfId="1323" priority="1873"/>
  </conditionalFormatting>
  <conditionalFormatting sqref="H8">
    <cfRule type="duplicateValues" dxfId="1322" priority="1159"/>
    <cfRule type="duplicateValues" dxfId="1321" priority="1160"/>
  </conditionalFormatting>
  <conditionalFormatting sqref="H9">
    <cfRule type="duplicateValues" dxfId="1320" priority="1155"/>
    <cfRule type="duplicateValues" dxfId="1319" priority="1156"/>
  </conditionalFormatting>
  <conditionalFormatting sqref="H10">
    <cfRule type="duplicateValues" dxfId="1318" priority="542"/>
    <cfRule type="duplicateValues" dxfId="1317" priority="543"/>
  </conditionalFormatting>
  <conditionalFormatting sqref="H11">
    <cfRule type="duplicateValues" dxfId="1316" priority="389"/>
    <cfRule type="duplicateValues" dxfId="1315" priority="390"/>
  </conditionalFormatting>
  <conditionalFormatting sqref="H12">
    <cfRule type="duplicateValues" dxfId="1314" priority="381"/>
    <cfRule type="duplicateValues" dxfId="1313" priority="382"/>
  </conditionalFormatting>
  <conditionalFormatting sqref="H13">
    <cfRule type="duplicateValues" dxfId="1312" priority="2318"/>
    <cfRule type="duplicateValues" dxfId="1311" priority="2319"/>
    <cfRule type="duplicateValues" dxfId="1310" priority="2320"/>
  </conditionalFormatting>
  <conditionalFormatting sqref="H14">
    <cfRule type="duplicateValues" dxfId="1309" priority="3007"/>
  </conditionalFormatting>
  <conditionalFormatting sqref="H15">
    <cfRule type="duplicateValues" dxfId="1308" priority="2728"/>
    <cfRule type="duplicateValues" dxfId="1307" priority="2729"/>
    <cfRule type="duplicateValues" dxfId="1306" priority="2730"/>
    <cfRule type="duplicateValues" dxfId="1305" priority="2731"/>
    <cfRule type="duplicateValues" dxfId="1304" priority="2732"/>
  </conditionalFormatting>
  <conditionalFormatting sqref="H16 H20:H21 H23:H24">
    <cfRule type="duplicateValues" dxfId="1303" priority="2914"/>
    <cfRule type="duplicateValues" dxfId="1302" priority="2915"/>
    <cfRule type="duplicateValues" dxfId="1301" priority="2916"/>
    <cfRule type="duplicateValues" dxfId="1300" priority="2917"/>
  </conditionalFormatting>
  <conditionalFormatting sqref="H17">
    <cfRule type="duplicateValues" dxfId="1299" priority="375"/>
    <cfRule type="duplicateValues" dxfId="1298" priority="376"/>
  </conditionalFormatting>
  <conditionalFormatting sqref="H18">
    <cfRule type="duplicateValues" dxfId="1297" priority="83"/>
    <cfRule type="duplicateValues" dxfId="1296" priority="84"/>
  </conditionalFormatting>
  <conditionalFormatting sqref="H19">
    <cfRule type="duplicateValues" dxfId="1295" priority="88"/>
  </conditionalFormatting>
  <conditionalFormatting sqref="H22">
    <cfRule type="duplicateValues" dxfId="1294" priority="89"/>
  </conditionalFormatting>
  <conditionalFormatting sqref="H25">
    <cfRule type="duplicateValues" dxfId="1293" priority="85"/>
    <cfRule type="duplicateValues" dxfId="1292" priority="86"/>
    <cfRule type="duplicateValues" dxfId="1291" priority="87"/>
  </conditionalFormatting>
  <conditionalFormatting sqref="H26">
    <cfRule type="duplicateValues" dxfId="1290" priority="2300"/>
    <cfRule type="duplicateValues" dxfId="1289" priority="2301"/>
    <cfRule type="duplicateValues" dxfId="1288" priority="2302"/>
    <cfRule type="duplicateValues" dxfId="1287" priority="2303"/>
    <cfRule type="duplicateValues" dxfId="1286" priority="2304"/>
    <cfRule type="duplicateValues" dxfId="1285" priority="2305"/>
    <cfRule type="duplicateValues" dxfId="1284" priority="2306"/>
    <cfRule type="duplicateValues" dxfId="1283" priority="2307"/>
    <cfRule type="duplicateValues" dxfId="1282" priority="2308"/>
    <cfRule type="duplicateValues" dxfId="1281" priority="2309"/>
    <cfRule type="duplicateValues" dxfId="1280" priority="2310"/>
    <cfRule type="duplicateValues" dxfId="1279" priority="2311"/>
    <cfRule type="duplicateValues" dxfId="1278" priority="2312"/>
  </conditionalFormatting>
  <conditionalFormatting sqref="H27">
    <cfRule type="duplicateValues" dxfId="1277" priority="2612"/>
    <cfRule type="duplicateValues" dxfId="1276" priority="2613"/>
    <cfRule type="duplicateValues" dxfId="1275" priority="2614"/>
    <cfRule type="duplicateValues" dxfId="1274" priority="2615"/>
    <cfRule type="duplicateValues" dxfId="1273" priority="2616"/>
    <cfRule type="duplicateValues" dxfId="1272" priority="2617"/>
    <cfRule type="duplicateValues" dxfId="1271" priority="2618"/>
    <cfRule type="duplicateValues" dxfId="1270" priority="2619"/>
    <cfRule type="duplicateValues" dxfId="1269" priority="2620"/>
    <cfRule type="duplicateValues" dxfId="1268" priority="2621"/>
    <cfRule type="duplicateValues" dxfId="1267" priority="2622"/>
    <cfRule type="duplicateValues" dxfId="1266" priority="2880"/>
    <cfRule type="duplicateValues" dxfId="1265" priority="2881"/>
    <cfRule type="duplicateValues" dxfId="1264" priority="2882"/>
    <cfRule type="duplicateValues" dxfId="1263" priority="2883"/>
    <cfRule type="duplicateValues" dxfId="1262" priority="2884"/>
    <cfRule type="duplicateValues" dxfId="1261" priority="2885"/>
    <cfRule type="duplicateValues" dxfId="1260" priority="2886"/>
    <cfRule type="duplicateValues" dxfId="1259" priority="2887"/>
    <cfRule type="duplicateValues" dxfId="1258" priority="2888"/>
  </conditionalFormatting>
  <conditionalFormatting sqref="H28">
    <cfRule type="duplicateValues" dxfId="1257" priority="2321"/>
    <cfRule type="duplicateValues" dxfId="1256" priority="2322"/>
    <cfRule type="duplicateValues" dxfId="1255" priority="2323"/>
    <cfRule type="duplicateValues" dxfId="1254" priority="2324"/>
    <cfRule type="duplicateValues" dxfId="1253" priority="2325"/>
    <cfRule type="duplicateValues" dxfId="1252" priority="2326"/>
  </conditionalFormatting>
  <conditionalFormatting sqref="H29">
    <cfRule type="duplicateValues" dxfId="1251" priority="1891"/>
    <cfRule type="duplicateValues" dxfId="1250" priority="1892"/>
  </conditionalFormatting>
  <conditionalFormatting sqref="H30">
    <cfRule type="duplicateValues" dxfId="1249" priority="3016"/>
    <cfRule type="duplicateValues" dxfId="1248" priority="3017"/>
  </conditionalFormatting>
  <conditionalFormatting sqref="H31">
    <cfRule type="duplicateValues" dxfId="1247" priority="2677"/>
    <cfRule type="duplicateValues" dxfId="1246" priority="2678"/>
    <cfRule type="duplicateValues" dxfId="1245" priority="2679"/>
    <cfRule type="duplicateValues" dxfId="1244" priority="2680"/>
  </conditionalFormatting>
  <conditionalFormatting sqref="H32">
    <cfRule type="duplicateValues" dxfId="1243" priority="2647"/>
    <cfRule type="duplicateValues" dxfId="1242" priority="2648"/>
    <cfRule type="duplicateValues" dxfId="1241" priority="2649"/>
    <cfRule type="duplicateValues" dxfId="1240" priority="2650"/>
    <cfRule type="duplicateValues" dxfId="1239" priority="2651"/>
    <cfRule type="duplicateValues" dxfId="1238" priority="2652"/>
    <cfRule type="duplicateValues" dxfId="1237" priority="2653"/>
    <cfRule type="duplicateValues" dxfId="1236" priority="2654"/>
    <cfRule type="duplicateValues" dxfId="1235" priority="2655"/>
  </conditionalFormatting>
  <conditionalFormatting sqref="H33">
    <cfRule type="duplicateValues" dxfId="1234" priority="2634"/>
    <cfRule type="duplicateValues" dxfId="1233" priority="2635"/>
    <cfRule type="duplicateValues" dxfId="1232" priority="2636"/>
    <cfRule type="duplicateValues" dxfId="1231" priority="2637"/>
    <cfRule type="duplicateValues" dxfId="1230" priority="2638"/>
    <cfRule type="duplicateValues" dxfId="1229" priority="2639"/>
    <cfRule type="duplicateValues" dxfId="1228" priority="2640"/>
    <cfRule type="duplicateValues" dxfId="1227" priority="2641"/>
    <cfRule type="duplicateValues" dxfId="1226" priority="2642"/>
  </conditionalFormatting>
  <conditionalFormatting sqref="H34">
    <cfRule type="duplicateValues" dxfId="1225" priority="2524"/>
    <cfRule type="duplicateValues" dxfId="1224" priority="2525"/>
    <cfRule type="duplicateValues" dxfId="1223" priority="2526"/>
    <cfRule type="duplicateValues" dxfId="1222" priority="2527"/>
    <cfRule type="duplicateValues" dxfId="1221" priority="2528"/>
    <cfRule type="duplicateValues" dxfId="1220" priority="2529"/>
    <cfRule type="duplicateValues" dxfId="1219" priority="2530"/>
    <cfRule type="duplicateValues" dxfId="1218" priority="2531"/>
    <cfRule type="duplicateValues" dxfId="1217" priority="2532"/>
    <cfRule type="duplicateValues" dxfId="1216" priority="2533"/>
    <cfRule type="duplicateValues" dxfId="1215" priority="2534"/>
    <cfRule type="duplicateValues" dxfId="1214" priority="2535"/>
    <cfRule type="duplicateValues" dxfId="1213" priority="2536"/>
    <cfRule type="duplicateValues" dxfId="1212" priority="2537"/>
    <cfRule type="duplicateValues" dxfId="1211" priority="2538"/>
    <cfRule type="duplicateValues" dxfId="1210" priority="2539"/>
    <cfRule type="duplicateValues" dxfId="1209" priority="2540"/>
    <cfRule type="duplicateValues" dxfId="1208" priority="2541"/>
    <cfRule type="duplicateValues" dxfId="1207" priority="2542"/>
    <cfRule type="duplicateValues" dxfId="1206" priority="2543"/>
    <cfRule type="duplicateValues" dxfId="1205" priority="2544"/>
    <cfRule type="duplicateValues" dxfId="1204" priority="2545"/>
    <cfRule type="duplicateValues" dxfId="1203" priority="2546"/>
    <cfRule type="duplicateValues" dxfId="1202" priority="2547"/>
    <cfRule type="duplicateValues" dxfId="1201" priority="2548"/>
    <cfRule type="duplicateValues" dxfId="1200" priority="2549"/>
    <cfRule type="duplicateValues" dxfId="1199" priority="2550"/>
    <cfRule type="duplicateValues" dxfId="1198" priority="2551"/>
    <cfRule type="duplicateValues" dxfId="1197" priority="2552"/>
    <cfRule type="duplicateValues" dxfId="1196" priority="2553"/>
    <cfRule type="duplicateValues" dxfId="1195" priority="2554"/>
    <cfRule type="duplicateValues" dxfId="1194" priority="2555"/>
    <cfRule type="duplicateValues" dxfId="1193" priority="2556"/>
    <cfRule type="duplicateValues" dxfId="1192" priority="2557"/>
    <cfRule type="duplicateValues" dxfId="1191" priority="2558"/>
    <cfRule type="duplicateValues" dxfId="1190" priority="2559"/>
    <cfRule type="duplicateValues" dxfId="1189" priority="2560"/>
    <cfRule type="duplicateValues" dxfId="1188" priority="2561"/>
    <cfRule type="duplicateValues" dxfId="1187" priority="2562"/>
    <cfRule type="duplicateValues" dxfId="1186" priority="2563"/>
  </conditionalFormatting>
  <conditionalFormatting sqref="H35">
    <cfRule type="duplicateValues" dxfId="1185" priority="3018"/>
    <cfRule type="duplicateValues" dxfId="1184" priority="3019"/>
  </conditionalFormatting>
  <conditionalFormatting sqref="H36:H37">
    <cfRule type="duplicateValues" dxfId="1183" priority="2258"/>
    <cfRule type="duplicateValues" dxfId="1182" priority="2259"/>
    <cfRule type="duplicateValues" dxfId="1181" priority="2260"/>
    <cfRule type="duplicateValues" dxfId="1180" priority="2261"/>
    <cfRule type="duplicateValues" dxfId="1179" priority="2262"/>
    <cfRule type="duplicateValues" dxfId="1178" priority="2263"/>
    <cfRule type="duplicateValues" dxfId="1177" priority="2264"/>
  </conditionalFormatting>
  <conditionalFormatting sqref="H38">
    <cfRule type="duplicateValues" dxfId="1176" priority="2926"/>
    <cfRule type="duplicateValues" dxfId="1175" priority="2927"/>
    <cfRule type="duplicateValues" dxfId="1174" priority="2928"/>
    <cfRule type="duplicateValues" dxfId="1173" priority="2929"/>
    <cfRule type="duplicateValues" dxfId="1172" priority="2930"/>
    <cfRule type="duplicateValues" dxfId="1171" priority="2931"/>
    <cfRule type="duplicateValues" dxfId="1170" priority="2932"/>
    <cfRule type="duplicateValues" dxfId="1169" priority="2933"/>
    <cfRule type="duplicateValues" dxfId="1168" priority="2934"/>
    <cfRule type="duplicateValues" dxfId="1167" priority="2935"/>
    <cfRule type="duplicateValues" dxfId="1166" priority="2936"/>
    <cfRule type="duplicateValues" dxfId="1165" priority="2937"/>
  </conditionalFormatting>
  <conditionalFormatting sqref="H39">
    <cfRule type="duplicateValues" dxfId="1164" priority="2372"/>
    <cfRule type="duplicateValues" dxfId="1163" priority="2373"/>
    <cfRule type="duplicateValues" dxfId="1162" priority="2374"/>
    <cfRule type="duplicateValues" dxfId="1161" priority="2375"/>
  </conditionalFormatting>
  <conditionalFormatting sqref="H40">
    <cfRule type="duplicateValues" dxfId="1160" priority="2287"/>
    <cfRule type="duplicateValues" dxfId="1159" priority="2288"/>
    <cfRule type="duplicateValues" dxfId="1158" priority="2289"/>
    <cfRule type="duplicateValues" dxfId="1157" priority="2290"/>
    <cfRule type="duplicateValues" dxfId="1156" priority="2291"/>
    <cfRule type="duplicateValues" dxfId="1155" priority="2292"/>
    <cfRule type="duplicateValues" dxfId="1154" priority="2293"/>
    <cfRule type="duplicateValues" dxfId="1153" priority="2294"/>
    <cfRule type="duplicateValues" dxfId="1152" priority="2295"/>
    <cfRule type="duplicateValues" dxfId="1151" priority="2296"/>
    <cfRule type="duplicateValues" dxfId="1150" priority="2297"/>
    <cfRule type="duplicateValues" dxfId="1149" priority="2298"/>
    <cfRule type="duplicateValues" dxfId="1148" priority="2299"/>
  </conditionalFormatting>
  <conditionalFormatting sqref="H41">
    <cfRule type="duplicateValues" dxfId="1147" priority="2817"/>
    <cfRule type="duplicateValues" dxfId="1146" priority="2818"/>
    <cfRule type="duplicateValues" dxfId="1145" priority="2819"/>
    <cfRule type="duplicateValues" dxfId="1144" priority="2820"/>
    <cfRule type="duplicateValues" dxfId="1143" priority="2821"/>
    <cfRule type="duplicateValues" dxfId="1142" priority="2822"/>
    <cfRule type="duplicateValues" dxfId="1141" priority="2823"/>
    <cfRule type="duplicateValues" dxfId="1140" priority="2824"/>
    <cfRule type="duplicateValues" dxfId="1139" priority="2825"/>
    <cfRule type="duplicateValues" dxfId="1138" priority="2826"/>
    <cfRule type="duplicateValues" dxfId="1137" priority="2827"/>
    <cfRule type="duplicateValues" dxfId="1136" priority="2828"/>
    <cfRule type="duplicateValues" dxfId="1135" priority="2829"/>
    <cfRule type="duplicateValues" dxfId="1134" priority="2830"/>
    <cfRule type="duplicateValues" dxfId="1133" priority="2831"/>
    <cfRule type="duplicateValues" dxfId="1132" priority="2832"/>
    <cfRule type="duplicateValues" dxfId="1131" priority="2833"/>
    <cfRule type="duplicateValues" dxfId="1130" priority="2834"/>
    <cfRule type="duplicateValues" dxfId="1129" priority="2835"/>
    <cfRule type="duplicateValues" dxfId="1128" priority="2836"/>
    <cfRule type="duplicateValues" dxfId="1127" priority="2837"/>
    <cfRule type="duplicateValues" dxfId="1126" priority="2838"/>
    <cfRule type="duplicateValues" dxfId="1125" priority="2839"/>
    <cfRule type="duplicateValues" dxfId="1124" priority="2840"/>
    <cfRule type="duplicateValues" dxfId="1123" priority="2841"/>
    <cfRule type="duplicateValues" dxfId="1122" priority="2842"/>
    <cfRule type="duplicateValues" dxfId="1121" priority="2843"/>
    <cfRule type="duplicateValues" dxfId="1120" priority="2844"/>
  </conditionalFormatting>
  <conditionalFormatting sqref="H42">
    <cfRule type="duplicateValues" dxfId="1119" priority="2607"/>
    <cfRule type="duplicateValues" dxfId="1118" priority="2608"/>
    <cfRule type="duplicateValues" dxfId="1117" priority="2609"/>
    <cfRule type="duplicateValues" dxfId="1116" priority="2610"/>
    <cfRule type="duplicateValues" dxfId="1115" priority="2611"/>
  </conditionalFormatting>
  <conditionalFormatting sqref="H43">
    <cfRule type="duplicateValues" dxfId="1114" priority="2439"/>
    <cfRule type="duplicateValues" dxfId="1113" priority="2440"/>
    <cfRule type="duplicateValues" dxfId="1112" priority="2441"/>
    <cfRule type="duplicateValues" dxfId="1111" priority="2442"/>
    <cfRule type="duplicateValues" dxfId="1110" priority="2443"/>
    <cfRule type="duplicateValues" dxfId="1109" priority="2444"/>
    <cfRule type="duplicateValues" dxfId="1108" priority="2445"/>
    <cfRule type="duplicateValues" dxfId="1107" priority="2446"/>
    <cfRule type="duplicateValues" dxfId="1106" priority="2447"/>
    <cfRule type="duplicateValues" dxfId="1105" priority="2448"/>
    <cfRule type="duplicateValues" dxfId="1104" priority="2449"/>
    <cfRule type="duplicateValues" dxfId="1103" priority="2450"/>
    <cfRule type="duplicateValues" dxfId="1102" priority="2451"/>
    <cfRule type="duplicateValues" dxfId="1101" priority="2452"/>
    <cfRule type="duplicateValues" dxfId="1100" priority="2453"/>
    <cfRule type="duplicateValues" dxfId="1099" priority="2454"/>
    <cfRule type="duplicateValues" dxfId="1098" priority="2455"/>
    <cfRule type="duplicateValues" dxfId="1097" priority="2456"/>
    <cfRule type="duplicateValues" dxfId="1096" priority="2457"/>
    <cfRule type="duplicateValues" dxfId="1095" priority="2458"/>
    <cfRule type="duplicateValues" dxfId="1094" priority="2459"/>
    <cfRule type="duplicateValues" dxfId="1093" priority="2460"/>
  </conditionalFormatting>
  <conditionalFormatting sqref="H44">
    <cfRule type="duplicateValues" dxfId="1092" priority="3028"/>
    <cfRule type="duplicateValues" dxfId="1091" priority="3029"/>
  </conditionalFormatting>
  <conditionalFormatting sqref="H45">
    <cfRule type="duplicateValues" dxfId="1090" priority="3008"/>
    <cfRule type="duplicateValues" dxfId="1089" priority="3009"/>
    <cfRule type="duplicateValues" dxfId="1088" priority="3010"/>
  </conditionalFormatting>
  <conditionalFormatting sqref="H46">
    <cfRule type="duplicateValues" dxfId="1087" priority="3011"/>
    <cfRule type="duplicateValues" dxfId="1086" priority="3012"/>
    <cfRule type="duplicateValues" dxfId="1085" priority="3013"/>
    <cfRule type="duplicateValues" dxfId="1084" priority="3014"/>
    <cfRule type="duplicateValues" dxfId="1083" priority="3015"/>
  </conditionalFormatting>
  <conditionalFormatting sqref="H49">
    <cfRule type="duplicateValues" dxfId="1082" priority="1157"/>
    <cfRule type="duplicateValues" dxfId="1081" priority="1158"/>
  </conditionalFormatting>
  <conditionalFormatting sqref="H50">
    <cfRule type="duplicateValues" dxfId="1080" priority="2327"/>
    <cfRule type="duplicateValues" dxfId="1079" priority="2328"/>
  </conditionalFormatting>
  <conditionalFormatting sqref="H51">
    <cfRule type="duplicateValues" dxfId="1078" priority="3030"/>
    <cfRule type="duplicateValues" dxfId="1077" priority="3031"/>
    <cfRule type="duplicateValues" dxfId="1076" priority="3032"/>
    <cfRule type="duplicateValues" dxfId="1075" priority="3033"/>
  </conditionalFormatting>
  <conditionalFormatting sqref="H52">
    <cfRule type="duplicateValues" dxfId="1074" priority="48"/>
    <cfRule type="duplicateValues" dxfId="1073" priority="49"/>
    <cfRule type="duplicateValues" dxfId="1072" priority="50"/>
    <cfRule type="duplicateValues" dxfId="1071" priority="51"/>
    <cfRule type="duplicateValues" dxfId="1070" priority="52"/>
    <cfRule type="duplicateValues" dxfId="1069" priority="53"/>
    <cfRule type="duplicateValues" dxfId="1068" priority="54"/>
    <cfRule type="duplicateValues" dxfId="1067" priority="55"/>
    <cfRule type="duplicateValues" dxfId="1066" priority="56"/>
    <cfRule type="duplicateValues" dxfId="1065" priority="57"/>
    <cfRule type="duplicateValues" dxfId="1064" priority="58"/>
    <cfRule type="duplicateValues" dxfId="1063" priority="59"/>
    <cfRule type="duplicateValues" dxfId="1062" priority="60"/>
    <cfRule type="duplicateValues" dxfId="1061" priority="61"/>
    <cfRule type="duplicateValues" dxfId="1060" priority="62"/>
    <cfRule type="duplicateValues" dxfId="1059" priority="63"/>
    <cfRule type="duplicateValues" dxfId="1058" priority="64"/>
    <cfRule type="duplicateValues" dxfId="1057" priority="65"/>
    <cfRule type="duplicateValues" dxfId="1056" priority="66"/>
    <cfRule type="duplicateValues" dxfId="1055" priority="67"/>
    <cfRule type="duplicateValues" dxfId="1054" priority="68"/>
    <cfRule type="duplicateValues" dxfId="1053" priority="69"/>
    <cfRule type="duplicateValues" dxfId="1052" priority="70"/>
    <cfRule type="duplicateValues" dxfId="1051" priority="71"/>
    <cfRule type="duplicateValues" dxfId="1050" priority="72"/>
    <cfRule type="duplicateValues" dxfId="1049" priority="73"/>
    <cfRule type="duplicateValues" dxfId="1048" priority="74"/>
    <cfRule type="duplicateValues" dxfId="1047" priority="75"/>
    <cfRule type="duplicateValues" dxfId="1046" priority="76"/>
    <cfRule type="duplicateValues" dxfId="1045" priority="77"/>
    <cfRule type="duplicateValues" dxfId="1044" priority="78"/>
    <cfRule type="duplicateValues" dxfId="1043" priority="79"/>
    <cfRule type="duplicateValues" dxfId="1042" priority="80"/>
    <cfRule type="duplicateValues" dxfId="1041" priority="81"/>
    <cfRule type="duplicateValues" dxfId="1040" priority="82"/>
  </conditionalFormatting>
  <conditionalFormatting sqref="H54">
    <cfRule type="duplicateValues" dxfId="1039" priority="2329"/>
    <cfRule type="duplicateValues" dxfId="1038" priority="2330"/>
    <cfRule type="duplicateValues" dxfId="1037" priority="2331"/>
    <cfRule type="duplicateValues" dxfId="1036" priority="2332"/>
    <cfRule type="duplicateValues" dxfId="1035" priority="2333"/>
    <cfRule type="duplicateValues" dxfId="1034" priority="2334"/>
    <cfRule type="duplicateValues" dxfId="1033" priority="2335"/>
  </conditionalFormatting>
  <conditionalFormatting sqref="H55">
    <cfRule type="duplicateValues" dxfId="1032" priority="44"/>
    <cfRule type="duplicateValues" dxfId="1031" priority="45"/>
    <cfRule type="duplicateValues" dxfId="1030" priority="46"/>
    <cfRule type="duplicateValues" dxfId="1029" priority="47"/>
  </conditionalFormatting>
  <conditionalFormatting sqref="H56">
    <cfRule type="duplicateValues" dxfId="1028" priority="2597"/>
    <cfRule type="duplicateValues" dxfId="1027" priority="2598"/>
    <cfRule type="duplicateValues" dxfId="1026" priority="2599"/>
    <cfRule type="duplicateValues" dxfId="1025" priority="2600"/>
    <cfRule type="duplicateValues" dxfId="1024" priority="2601"/>
    <cfRule type="duplicateValues" dxfId="1023" priority="2602"/>
  </conditionalFormatting>
  <conditionalFormatting sqref="H57">
    <cfRule type="duplicateValues" dxfId="1022" priority="2976"/>
    <cfRule type="duplicateValues" dxfId="1021" priority="2977"/>
    <cfRule type="duplicateValues" dxfId="1020" priority="2978"/>
    <cfRule type="duplicateValues" dxfId="1019" priority="2979"/>
    <cfRule type="duplicateValues" dxfId="1018" priority="2980"/>
    <cfRule type="duplicateValues" dxfId="1017" priority="2981"/>
    <cfRule type="duplicateValues" dxfId="1016" priority="2982"/>
    <cfRule type="duplicateValues" dxfId="1015" priority="2983"/>
  </conditionalFormatting>
  <conditionalFormatting sqref="I2">
    <cfRule type="duplicateValues" dxfId="1014" priority="1962"/>
  </conditionalFormatting>
  <conditionalFormatting sqref="I2:I3">
    <cfRule type="duplicateValues" dxfId="1013" priority="1916"/>
    <cfRule type="duplicateValues" dxfId="1012" priority="1917"/>
    <cfRule type="duplicateValues" dxfId="1011" priority="1918"/>
    <cfRule type="duplicateValues" dxfId="1010" priority="1919"/>
    <cfRule type="duplicateValues" dxfId="1009" priority="1920"/>
    <cfRule type="duplicateValues" dxfId="1008" priority="1921"/>
    <cfRule type="duplicateValues" dxfId="1007" priority="1922"/>
    <cfRule type="duplicateValues" dxfId="1006" priority="1923"/>
    <cfRule type="duplicateValues" dxfId="1005" priority="1924"/>
    <cfRule type="duplicateValues" dxfId="1004" priority="1925"/>
    <cfRule type="duplicateValues" dxfId="1003" priority="1926"/>
    <cfRule type="duplicateValues" dxfId="1002" priority="1927"/>
    <cfRule type="duplicateValues" dxfId="1001" priority="1928"/>
    <cfRule type="duplicateValues" dxfId="1000" priority="1929"/>
    <cfRule type="duplicateValues" dxfId="999" priority="1930"/>
    <cfRule type="duplicateValues" dxfId="998" priority="1931"/>
    <cfRule type="duplicateValues" dxfId="997" priority="1932"/>
    <cfRule type="duplicateValues" dxfId="996" priority="1933"/>
    <cfRule type="duplicateValues" dxfId="995" priority="1934"/>
    <cfRule type="duplicateValues" dxfId="994" priority="1935"/>
    <cfRule type="duplicateValues" dxfId="993" priority="1936"/>
    <cfRule type="duplicateValues" dxfId="992" priority="1937"/>
    <cfRule type="duplicateValues" dxfId="991" priority="1938"/>
    <cfRule type="duplicateValues" dxfId="990" priority="1939"/>
    <cfRule type="duplicateValues" dxfId="989" priority="1940"/>
    <cfRule type="duplicateValues" dxfId="988" priority="1941"/>
    <cfRule type="duplicateValues" dxfId="987" priority="1942"/>
    <cfRule type="duplicateValues" dxfId="986" priority="1943"/>
    <cfRule type="duplicateValues" dxfId="985" priority="1944"/>
    <cfRule type="duplicateValues" dxfId="984" priority="1945"/>
    <cfRule type="duplicateValues" dxfId="983" priority="1946"/>
    <cfRule type="duplicateValues" dxfId="982" priority="1947"/>
    <cfRule type="duplicateValues" dxfId="981" priority="1948"/>
    <cfRule type="duplicateValues" dxfId="980" priority="1949"/>
    <cfRule type="duplicateValues" dxfId="979" priority="1950"/>
    <cfRule type="duplicateValues" dxfId="978" priority="1951"/>
  </conditionalFormatting>
  <conditionalFormatting sqref="I3">
    <cfRule type="duplicateValues" dxfId="977" priority="1963"/>
  </conditionalFormatting>
  <conditionalFormatting sqref="I80:I87">
    <cfRule type="duplicateValues" dxfId="976" priority="1964"/>
    <cfRule type="duplicateValues" dxfId="975" priority="1965"/>
    <cfRule type="duplicateValues" dxfId="974" priority="1966"/>
    <cfRule type="duplicateValues" dxfId="973" priority="2248"/>
  </conditionalFormatting>
  <conditionalFormatting sqref="I80:I88">
    <cfRule type="duplicateValues" dxfId="972" priority="1967"/>
    <cfRule type="duplicateValues" dxfId="971" priority="1968"/>
    <cfRule type="duplicateValues" dxfId="970" priority="2079"/>
    <cfRule type="duplicateValues" dxfId="969" priority="2080"/>
    <cfRule type="duplicateValues" dxfId="968" priority="2081"/>
    <cfRule type="duplicateValues" dxfId="967" priority="2082"/>
    <cfRule type="duplicateValues" dxfId="966" priority="2083"/>
    <cfRule type="duplicateValues" dxfId="965" priority="2084"/>
    <cfRule type="duplicateValues" dxfId="964" priority="2085"/>
  </conditionalFormatting>
  <conditionalFormatting sqref="I88:I89">
    <cfRule type="duplicateValues" dxfId="963" priority="1952"/>
    <cfRule type="duplicateValues" dxfId="962" priority="1953"/>
    <cfRule type="duplicateValues" dxfId="961" priority="1954"/>
    <cfRule type="duplicateValues" dxfId="960" priority="1955"/>
    <cfRule type="duplicateValues" dxfId="959" priority="1956"/>
    <cfRule type="duplicateValues" dxfId="958" priority="1957"/>
    <cfRule type="duplicateValues" dxfId="957" priority="1958"/>
    <cfRule type="duplicateValues" dxfId="956" priority="1959"/>
    <cfRule type="duplicateValues" dxfId="955" priority="1960"/>
    <cfRule type="duplicateValues" dxfId="954" priority="1961"/>
    <cfRule type="duplicateValues" dxfId="953" priority="2238"/>
  </conditionalFormatting>
  <conditionalFormatting sqref="I89:I90">
    <cfRule type="duplicateValues" dxfId="952" priority="1969"/>
    <cfRule type="duplicateValues" dxfId="951" priority="1970"/>
    <cfRule type="duplicateValues" dxfId="950" priority="1971"/>
    <cfRule type="duplicateValues" dxfId="949" priority="1972"/>
    <cfRule type="duplicateValues" dxfId="948" priority="1973"/>
    <cfRule type="duplicateValues" dxfId="947" priority="1974"/>
    <cfRule type="duplicateValues" dxfId="946" priority="1975"/>
    <cfRule type="duplicateValues" dxfId="945" priority="1976"/>
    <cfRule type="duplicateValues" dxfId="944" priority="1977"/>
    <cfRule type="duplicateValues" dxfId="943" priority="1978"/>
    <cfRule type="duplicateValues" dxfId="942" priority="1979"/>
    <cfRule type="duplicateValues" dxfId="941" priority="1980"/>
    <cfRule type="duplicateValues" dxfId="940" priority="1981"/>
    <cfRule type="duplicateValues" dxfId="939" priority="1982"/>
    <cfRule type="duplicateValues" dxfId="938" priority="1983"/>
    <cfRule type="duplicateValues" dxfId="937" priority="1984"/>
    <cfRule type="duplicateValues" dxfId="936" priority="1985"/>
    <cfRule type="duplicateValues" dxfId="935" priority="1986"/>
    <cfRule type="duplicateValues" dxfId="934" priority="1987"/>
    <cfRule type="duplicateValues" dxfId="933" priority="1988"/>
    <cfRule type="duplicateValues" dxfId="932" priority="1989"/>
    <cfRule type="duplicateValues" dxfId="931" priority="1990"/>
    <cfRule type="duplicateValues" dxfId="930" priority="1991"/>
    <cfRule type="duplicateValues" dxfId="929" priority="1992"/>
    <cfRule type="duplicateValues" dxfId="928" priority="1993"/>
  </conditionalFormatting>
  <conditionalFormatting sqref="I90:I91">
    <cfRule type="duplicateValues" dxfId="927" priority="2213"/>
    <cfRule type="duplicateValues" dxfId="926" priority="2214"/>
  </conditionalFormatting>
  <conditionalFormatting sqref="I91:I92">
    <cfRule type="duplicateValues" dxfId="925" priority="2233"/>
    <cfRule type="duplicateValues" dxfId="924" priority="2244"/>
  </conditionalFormatting>
  <conditionalFormatting sqref="I92:I93">
    <cfRule type="duplicateValues" dxfId="923" priority="2231"/>
    <cfRule type="duplicateValues" dxfId="922" priority="2240"/>
  </conditionalFormatting>
  <conditionalFormatting sqref="I93:I94">
    <cfRule type="duplicateValues" dxfId="921" priority="2125"/>
    <cfRule type="duplicateValues" dxfId="920" priority="2126"/>
    <cfRule type="duplicateValues" dxfId="919" priority="2127"/>
    <cfRule type="duplicateValues" dxfId="918" priority="2128"/>
    <cfRule type="duplicateValues" dxfId="917" priority="2129"/>
    <cfRule type="duplicateValues" dxfId="916" priority="2130"/>
    <cfRule type="duplicateValues" dxfId="915" priority="2131"/>
    <cfRule type="duplicateValues" dxfId="914" priority="2132"/>
    <cfRule type="duplicateValues" dxfId="913" priority="2133"/>
    <cfRule type="duplicateValues" dxfId="912" priority="2134"/>
    <cfRule type="duplicateValues" dxfId="911" priority="2135"/>
    <cfRule type="duplicateValues" dxfId="910" priority="2136"/>
  </conditionalFormatting>
  <conditionalFormatting sqref="I94:I95">
    <cfRule type="duplicateValues" dxfId="909" priority="2232"/>
    <cfRule type="duplicateValues" dxfId="908" priority="2247"/>
  </conditionalFormatting>
  <conditionalFormatting sqref="I95:I97">
    <cfRule type="duplicateValues" dxfId="907" priority="2042"/>
    <cfRule type="duplicateValues" dxfId="906" priority="2043"/>
    <cfRule type="duplicateValues" dxfId="905" priority="2044"/>
    <cfRule type="duplicateValues" dxfId="904" priority="2045"/>
    <cfRule type="duplicateValues" dxfId="903" priority="2046"/>
    <cfRule type="duplicateValues" dxfId="902" priority="2047"/>
    <cfRule type="duplicateValues" dxfId="901" priority="2048"/>
    <cfRule type="duplicateValues" dxfId="900" priority="2049"/>
    <cfRule type="duplicateValues" dxfId="899" priority="2050"/>
    <cfRule type="duplicateValues" dxfId="898" priority="2051"/>
    <cfRule type="duplicateValues" dxfId="897" priority="2052"/>
    <cfRule type="duplicateValues" dxfId="896" priority="2053"/>
    <cfRule type="duplicateValues" dxfId="895" priority="2054"/>
    <cfRule type="duplicateValues" dxfId="894" priority="2055"/>
    <cfRule type="duplicateValues" dxfId="893" priority="2056"/>
    <cfRule type="duplicateValues" dxfId="892" priority="2057"/>
    <cfRule type="duplicateValues" dxfId="891" priority="2058"/>
    <cfRule type="duplicateValues" dxfId="890" priority="2059"/>
    <cfRule type="duplicateValues" dxfId="889" priority="2060"/>
    <cfRule type="duplicateValues" dxfId="888" priority="2061"/>
    <cfRule type="duplicateValues" dxfId="887" priority="2062"/>
    <cfRule type="duplicateValues" dxfId="886" priority="2063"/>
    <cfRule type="duplicateValues" dxfId="885" priority="2064"/>
    <cfRule type="duplicateValues" dxfId="884" priority="2065"/>
    <cfRule type="duplicateValues" dxfId="883" priority="2066"/>
    <cfRule type="duplicateValues" dxfId="882" priority="2067"/>
    <cfRule type="duplicateValues" dxfId="881" priority="2068"/>
    <cfRule type="duplicateValues" dxfId="880" priority="2069"/>
  </conditionalFormatting>
  <conditionalFormatting sqref="I97:I98">
    <cfRule type="duplicateValues" dxfId="879" priority="2234"/>
    <cfRule type="duplicateValues" dxfId="878" priority="2241"/>
    <cfRule type="duplicateValues" dxfId="877" priority="2242"/>
  </conditionalFormatting>
  <conditionalFormatting sqref="I98">
    <cfRule type="duplicateValues" dxfId="876" priority="2252"/>
    <cfRule type="duplicateValues" dxfId="875" priority="2253"/>
    <cfRule type="duplicateValues" dxfId="874" priority="2254"/>
    <cfRule type="duplicateValues" dxfId="873" priority="2255"/>
    <cfRule type="duplicateValues" dxfId="872" priority="2256"/>
    <cfRule type="duplicateValues" dxfId="871" priority="2257"/>
  </conditionalFormatting>
  <conditionalFormatting sqref="I99">
    <cfRule type="duplicateValues" dxfId="870" priority="2249"/>
    <cfRule type="duplicateValues" dxfId="869" priority="2250"/>
    <cfRule type="duplicateValues" dxfId="868" priority="2251"/>
  </conditionalFormatting>
  <conditionalFormatting sqref="I99:I100">
    <cfRule type="duplicateValues" dxfId="867" priority="2167"/>
    <cfRule type="duplicateValues" dxfId="866" priority="2168"/>
    <cfRule type="duplicateValues" dxfId="865" priority="2169"/>
    <cfRule type="duplicateValues" dxfId="864" priority="2170"/>
    <cfRule type="duplicateValues" dxfId="863" priority="2171"/>
    <cfRule type="duplicateValues" dxfId="862" priority="2172"/>
    <cfRule type="duplicateValues" dxfId="861" priority="2173"/>
    <cfRule type="duplicateValues" dxfId="860" priority="2174"/>
    <cfRule type="duplicateValues" dxfId="859" priority="2175"/>
  </conditionalFormatting>
  <conditionalFormatting sqref="I100:I101">
    <cfRule type="duplicateValues" dxfId="858" priority="2070"/>
    <cfRule type="duplicateValues" dxfId="857" priority="2071"/>
    <cfRule type="duplicateValues" dxfId="856" priority="2072"/>
    <cfRule type="duplicateValues" dxfId="855" priority="2073"/>
    <cfRule type="duplicateValues" dxfId="854" priority="2074"/>
    <cfRule type="duplicateValues" dxfId="853" priority="2075"/>
    <cfRule type="duplicateValues" dxfId="852" priority="2076"/>
    <cfRule type="duplicateValues" dxfId="851" priority="2077"/>
    <cfRule type="duplicateValues" dxfId="850" priority="2078"/>
  </conditionalFormatting>
  <conditionalFormatting sqref="I101:I102">
    <cfRule type="duplicateValues" dxfId="849" priority="1994"/>
    <cfRule type="duplicateValues" dxfId="848" priority="1995"/>
    <cfRule type="duplicateValues" dxfId="847" priority="1996"/>
    <cfRule type="duplicateValues" dxfId="846" priority="1997"/>
    <cfRule type="duplicateValues" dxfId="845" priority="1998"/>
    <cfRule type="duplicateValues" dxfId="844" priority="1999"/>
    <cfRule type="duplicateValues" dxfId="843" priority="2000"/>
    <cfRule type="duplicateValues" dxfId="842" priority="2001"/>
    <cfRule type="duplicateValues" dxfId="841" priority="2002"/>
    <cfRule type="duplicateValues" dxfId="840" priority="2003"/>
    <cfRule type="duplicateValues" dxfId="839" priority="2004"/>
    <cfRule type="duplicateValues" dxfId="838" priority="2005"/>
    <cfRule type="duplicateValues" dxfId="837" priority="2006"/>
    <cfRule type="duplicateValues" dxfId="836" priority="2007"/>
    <cfRule type="duplicateValues" dxfId="835" priority="2008"/>
    <cfRule type="duplicateValues" dxfId="834" priority="2009"/>
    <cfRule type="duplicateValues" dxfId="833" priority="2010"/>
    <cfRule type="duplicateValues" dxfId="832" priority="2011"/>
    <cfRule type="duplicateValues" dxfId="831" priority="2012"/>
    <cfRule type="duplicateValues" dxfId="830" priority="2013"/>
  </conditionalFormatting>
  <conditionalFormatting sqref="I102:I103">
    <cfRule type="duplicateValues" dxfId="829" priority="2211"/>
    <cfRule type="duplicateValues" dxfId="828" priority="2212"/>
  </conditionalFormatting>
  <conditionalFormatting sqref="I103:I104">
    <cfRule type="duplicateValues" dxfId="827" priority="2235"/>
    <cfRule type="duplicateValues" dxfId="826" priority="2236"/>
    <cfRule type="duplicateValues" dxfId="825" priority="2237"/>
  </conditionalFormatting>
  <conditionalFormatting sqref="I103:I105">
    <cfRule type="duplicateValues" dxfId="824" priority="2246"/>
  </conditionalFormatting>
  <conditionalFormatting sqref="I104:I106">
    <cfRule type="duplicateValues" dxfId="823" priority="2239"/>
  </conditionalFormatting>
  <conditionalFormatting sqref="I105:I106">
    <cfRule type="duplicateValues" dxfId="822" priority="2245"/>
  </conditionalFormatting>
  <conditionalFormatting sqref="I106:I107">
    <cfRule type="duplicateValues" dxfId="821" priority="2228"/>
    <cfRule type="duplicateValues" dxfId="820" priority="2229"/>
    <cfRule type="duplicateValues" dxfId="819" priority="2230"/>
  </conditionalFormatting>
  <conditionalFormatting sqref="I107:I108">
    <cfRule type="duplicateValues" dxfId="818" priority="2086"/>
    <cfRule type="duplicateValues" dxfId="817" priority="2087"/>
    <cfRule type="duplicateValues" dxfId="816" priority="2088"/>
    <cfRule type="duplicateValues" dxfId="815" priority="2089"/>
    <cfRule type="duplicateValues" dxfId="814" priority="2090"/>
    <cfRule type="duplicateValues" dxfId="813" priority="2091"/>
    <cfRule type="duplicateValues" dxfId="812" priority="2092"/>
    <cfRule type="duplicateValues" dxfId="811" priority="2093"/>
    <cfRule type="duplicateValues" dxfId="810" priority="2094"/>
    <cfRule type="duplicateValues" dxfId="809" priority="2095"/>
    <cfRule type="duplicateValues" dxfId="808" priority="2096"/>
    <cfRule type="duplicateValues" dxfId="807" priority="2097"/>
  </conditionalFormatting>
  <conditionalFormatting sqref="I108:I109">
    <cfRule type="duplicateValues" dxfId="806" priority="2189"/>
    <cfRule type="duplicateValues" dxfId="805" priority="2190"/>
    <cfRule type="duplicateValues" dxfId="804" priority="2191"/>
    <cfRule type="duplicateValues" dxfId="803" priority="2192"/>
  </conditionalFormatting>
  <conditionalFormatting sqref="I109:I110">
    <cfRule type="duplicateValues" dxfId="802" priority="2176"/>
    <cfRule type="duplicateValues" dxfId="801" priority="2177"/>
    <cfRule type="duplicateValues" dxfId="800" priority="2178"/>
    <cfRule type="duplicateValues" dxfId="799" priority="2179"/>
    <cfRule type="duplicateValues" dxfId="798" priority="2180"/>
    <cfRule type="duplicateValues" dxfId="797" priority="2181"/>
    <cfRule type="duplicateValues" dxfId="796" priority="2182"/>
    <cfRule type="duplicateValues" dxfId="795" priority="2183"/>
  </conditionalFormatting>
  <conditionalFormatting sqref="I110:I111">
    <cfRule type="duplicateValues" dxfId="794" priority="2184"/>
    <cfRule type="duplicateValues" dxfId="793" priority="2185"/>
    <cfRule type="duplicateValues" dxfId="792" priority="2186"/>
    <cfRule type="duplicateValues" dxfId="791" priority="2187"/>
    <cfRule type="duplicateValues" dxfId="790" priority="2188"/>
  </conditionalFormatting>
  <conditionalFormatting sqref="I112:I113">
    <cfRule type="duplicateValues" dxfId="789" priority="2104"/>
    <cfRule type="duplicateValues" dxfId="788" priority="2105"/>
    <cfRule type="duplicateValues" dxfId="787" priority="2106"/>
    <cfRule type="duplicateValues" dxfId="786" priority="2107"/>
  </conditionalFormatting>
  <conditionalFormatting sqref="I113:I114">
    <cfRule type="duplicateValues" dxfId="785" priority="2114"/>
    <cfRule type="duplicateValues" dxfId="784" priority="2115"/>
    <cfRule type="duplicateValues" dxfId="783" priority="2116"/>
  </conditionalFormatting>
  <conditionalFormatting sqref="I114:I115">
    <cfRule type="duplicateValues" dxfId="782" priority="2155"/>
    <cfRule type="duplicateValues" dxfId="781" priority="2156"/>
    <cfRule type="duplicateValues" dxfId="780" priority="2157"/>
    <cfRule type="duplicateValues" dxfId="779" priority="2158"/>
    <cfRule type="duplicateValues" dxfId="778" priority="2159"/>
    <cfRule type="duplicateValues" dxfId="777" priority="2160"/>
    <cfRule type="duplicateValues" dxfId="776" priority="2161"/>
    <cfRule type="duplicateValues" dxfId="775" priority="2162"/>
    <cfRule type="duplicateValues" dxfId="774" priority="2163"/>
    <cfRule type="duplicateValues" dxfId="773" priority="2164"/>
    <cfRule type="duplicateValues" dxfId="772" priority="2165"/>
    <cfRule type="duplicateValues" dxfId="771" priority="2166"/>
  </conditionalFormatting>
  <conditionalFormatting sqref="I115:I116">
    <cfRule type="duplicateValues" dxfId="770" priority="2221"/>
    <cfRule type="duplicateValues" dxfId="769" priority="2222"/>
  </conditionalFormatting>
  <conditionalFormatting sqref="I116:I117">
    <cfRule type="duplicateValues" dxfId="768" priority="2217"/>
  </conditionalFormatting>
  <conditionalFormatting sqref="I117:I118">
    <cfRule type="duplicateValues" dxfId="767" priority="2117"/>
    <cfRule type="duplicateValues" dxfId="766" priority="2118"/>
    <cfRule type="duplicateValues" dxfId="765" priority="2119"/>
    <cfRule type="duplicateValues" dxfId="764" priority="2120"/>
    <cfRule type="duplicateValues" dxfId="763" priority="2121"/>
    <cfRule type="duplicateValues" dxfId="762" priority="2122"/>
    <cfRule type="duplicateValues" dxfId="761" priority="2123"/>
    <cfRule type="duplicateValues" dxfId="760" priority="2124"/>
  </conditionalFormatting>
  <conditionalFormatting sqref="I118:I119">
    <cfRule type="duplicateValues" dxfId="759" priority="2098"/>
    <cfRule type="duplicateValues" dxfId="758" priority="2099"/>
    <cfRule type="duplicateValues" dxfId="757" priority="2100"/>
    <cfRule type="duplicateValues" dxfId="756" priority="2101"/>
    <cfRule type="duplicateValues" dxfId="755" priority="2102"/>
    <cfRule type="duplicateValues" dxfId="754" priority="2103"/>
  </conditionalFormatting>
  <conditionalFormatting sqref="I119:I120">
    <cfRule type="duplicateValues" dxfId="753" priority="2215"/>
    <cfRule type="duplicateValues" dxfId="752" priority="2216"/>
  </conditionalFormatting>
  <conditionalFormatting sqref="I120:I121">
    <cfRule type="duplicateValues" dxfId="751" priority="2223"/>
    <cfRule type="duplicateValues" dxfId="750" priority="2224"/>
  </conditionalFormatting>
  <conditionalFormatting sqref="I121:I122">
    <cfRule type="duplicateValues" dxfId="749" priority="2137"/>
    <cfRule type="duplicateValues" dxfId="748" priority="2138"/>
    <cfRule type="duplicateValues" dxfId="747" priority="2139"/>
    <cfRule type="duplicateValues" dxfId="746" priority="2140"/>
    <cfRule type="duplicateValues" dxfId="745" priority="2141"/>
    <cfRule type="duplicateValues" dxfId="744" priority="2142"/>
    <cfRule type="duplicateValues" dxfId="743" priority="2143"/>
    <cfRule type="duplicateValues" dxfId="742" priority="2144"/>
    <cfRule type="duplicateValues" dxfId="741" priority="2145"/>
    <cfRule type="duplicateValues" dxfId="740" priority="2146"/>
    <cfRule type="duplicateValues" dxfId="739" priority="2147"/>
    <cfRule type="duplicateValues" dxfId="738" priority="2148"/>
    <cfRule type="duplicateValues" dxfId="737" priority="2149"/>
    <cfRule type="duplicateValues" dxfId="736" priority="2150"/>
    <cfRule type="duplicateValues" dxfId="735" priority="2151"/>
    <cfRule type="duplicateValues" dxfId="734" priority="2152"/>
    <cfRule type="duplicateValues" dxfId="733" priority="2153"/>
    <cfRule type="duplicateValues" dxfId="732" priority="2154"/>
  </conditionalFormatting>
  <conditionalFormatting sqref="I122:I123">
    <cfRule type="duplicateValues" dxfId="731" priority="2014"/>
    <cfRule type="duplicateValues" dxfId="730" priority="2015"/>
    <cfRule type="duplicateValues" dxfId="729" priority="2016"/>
    <cfRule type="duplicateValues" dxfId="728" priority="2017"/>
    <cfRule type="duplicateValues" dxfId="727" priority="2018"/>
    <cfRule type="duplicateValues" dxfId="726" priority="2019"/>
    <cfRule type="duplicateValues" dxfId="725" priority="2020"/>
    <cfRule type="duplicateValues" dxfId="724" priority="2021"/>
    <cfRule type="duplicateValues" dxfId="723" priority="2022"/>
    <cfRule type="duplicateValues" dxfId="722" priority="2023"/>
    <cfRule type="duplicateValues" dxfId="721" priority="2024"/>
    <cfRule type="duplicateValues" dxfId="720" priority="2025"/>
    <cfRule type="duplicateValues" dxfId="719" priority="2026"/>
    <cfRule type="duplicateValues" dxfId="718" priority="2027"/>
    <cfRule type="duplicateValues" dxfId="717" priority="2028"/>
    <cfRule type="duplicateValues" dxfId="716" priority="2029"/>
    <cfRule type="duplicateValues" dxfId="715" priority="2030"/>
    <cfRule type="duplicateValues" dxfId="714" priority="2031"/>
    <cfRule type="duplicateValues" dxfId="713" priority="2032"/>
    <cfRule type="duplicateValues" dxfId="712" priority="2033"/>
    <cfRule type="duplicateValues" dxfId="711" priority="2034"/>
    <cfRule type="duplicateValues" dxfId="710" priority="2035"/>
    <cfRule type="duplicateValues" dxfId="709" priority="2036"/>
    <cfRule type="duplicateValues" dxfId="708" priority="2037"/>
    <cfRule type="duplicateValues" dxfId="707" priority="2038"/>
    <cfRule type="duplicateValues" dxfId="706" priority="2039"/>
    <cfRule type="duplicateValues" dxfId="705" priority="2040"/>
    <cfRule type="duplicateValues" dxfId="704" priority="2041"/>
  </conditionalFormatting>
  <conditionalFormatting sqref="I123:I124">
    <cfRule type="duplicateValues" dxfId="703" priority="2225"/>
  </conditionalFormatting>
  <conditionalFormatting sqref="I124:I125">
    <cfRule type="duplicateValues" dxfId="702" priority="2193"/>
    <cfRule type="duplicateValues" dxfId="701" priority="2194"/>
    <cfRule type="duplicateValues" dxfId="700" priority="2195"/>
    <cfRule type="duplicateValues" dxfId="699" priority="2196"/>
    <cfRule type="duplicateValues" dxfId="698" priority="2197"/>
    <cfRule type="duplicateValues" dxfId="697" priority="2198"/>
    <cfRule type="duplicateValues" dxfId="696" priority="2199"/>
    <cfRule type="duplicateValues" dxfId="695" priority="2200"/>
  </conditionalFormatting>
  <conditionalFormatting sqref="I125:I126">
    <cfRule type="duplicateValues" dxfId="694" priority="2108"/>
    <cfRule type="duplicateValues" dxfId="693" priority="2109"/>
    <cfRule type="duplicateValues" dxfId="692" priority="2110"/>
    <cfRule type="duplicateValues" dxfId="691" priority="2111"/>
    <cfRule type="duplicateValues" dxfId="690" priority="2112"/>
    <cfRule type="duplicateValues" dxfId="689" priority="2113"/>
  </conditionalFormatting>
  <conditionalFormatting sqref="I126:I127">
    <cfRule type="duplicateValues" dxfId="688" priority="2243"/>
  </conditionalFormatting>
  <conditionalFormatting sqref="I127:I128">
    <cfRule type="duplicateValues" dxfId="687" priority="2218"/>
    <cfRule type="duplicateValues" dxfId="686" priority="2219"/>
    <cfRule type="duplicateValues" dxfId="685" priority="2220"/>
  </conditionalFormatting>
  <conditionalFormatting sqref="I128:I129">
    <cfRule type="duplicateValues" dxfId="684" priority="2226"/>
    <cfRule type="duplicateValues" dxfId="683" priority="2227"/>
  </conditionalFormatting>
  <conditionalFormatting sqref="I129:I130">
    <cfRule type="duplicateValues" dxfId="682" priority="2201"/>
    <cfRule type="duplicateValues" dxfId="681" priority="2202"/>
    <cfRule type="duplicateValues" dxfId="680" priority="2203"/>
    <cfRule type="duplicateValues" dxfId="679" priority="2204"/>
    <cfRule type="duplicateValues" dxfId="678" priority="2205"/>
    <cfRule type="duplicateValues" dxfId="677" priority="2206"/>
    <cfRule type="duplicateValues" dxfId="676" priority="2207"/>
    <cfRule type="duplicateValues" dxfId="675" priority="2208"/>
    <cfRule type="duplicateValues" dxfId="674" priority="2209"/>
    <cfRule type="duplicateValues" dxfId="673" priority="2210"/>
  </conditionalFormatting>
  <conditionalFormatting sqref="J4">
    <cfRule type="duplicateValues" dxfId="672" priority="1856"/>
  </conditionalFormatting>
  <conditionalFormatting sqref="J5">
    <cfRule type="duplicateValues" dxfId="671" priority="1169"/>
    <cfRule type="duplicateValues" dxfId="670" priority="1170"/>
  </conditionalFormatting>
  <conditionalFormatting sqref="J6">
    <cfRule type="duplicateValues" dxfId="669" priority="1165"/>
    <cfRule type="duplicateValues" dxfId="668" priority="1166"/>
  </conditionalFormatting>
  <conditionalFormatting sqref="J7">
    <cfRule type="duplicateValues" dxfId="667" priority="1161"/>
    <cfRule type="duplicateValues" dxfId="666" priority="1162"/>
    <cfRule type="duplicateValues" dxfId="665" priority="1163"/>
    <cfRule type="duplicateValues" dxfId="664" priority="1164"/>
  </conditionalFormatting>
  <conditionalFormatting sqref="J8">
    <cfRule type="duplicateValues" dxfId="663" priority="1584"/>
    <cfRule type="duplicateValues" dxfId="662" priority="1585"/>
  </conditionalFormatting>
  <conditionalFormatting sqref="J9">
    <cfRule type="duplicateValues" dxfId="661" priority="1572"/>
    <cfRule type="duplicateValues" dxfId="660" priority="1573"/>
    <cfRule type="duplicateValues" dxfId="659" priority="1574"/>
    <cfRule type="duplicateValues" dxfId="658" priority="1575"/>
    <cfRule type="duplicateValues" dxfId="657" priority="1576"/>
    <cfRule type="duplicateValues" dxfId="656" priority="1577"/>
    <cfRule type="duplicateValues" dxfId="655" priority="1578"/>
    <cfRule type="duplicateValues" dxfId="654" priority="1579"/>
    <cfRule type="duplicateValues" dxfId="653" priority="1580"/>
    <cfRule type="duplicateValues" dxfId="652" priority="1581"/>
    <cfRule type="duplicateValues" dxfId="651" priority="1582"/>
    <cfRule type="duplicateValues" dxfId="650" priority="1583"/>
  </conditionalFormatting>
  <conditionalFormatting sqref="J10">
    <cfRule type="duplicateValues" dxfId="649" priority="1534"/>
    <cfRule type="duplicateValues" dxfId="648" priority="1535"/>
    <cfRule type="duplicateValues" dxfId="647" priority="1536"/>
    <cfRule type="duplicateValues" dxfId="646" priority="1537"/>
    <cfRule type="duplicateValues" dxfId="645" priority="1538"/>
    <cfRule type="duplicateValues" dxfId="644" priority="1539"/>
    <cfRule type="duplicateValues" dxfId="643" priority="1540"/>
    <cfRule type="duplicateValues" dxfId="642" priority="1541"/>
    <cfRule type="duplicateValues" dxfId="641" priority="1542"/>
    <cfRule type="duplicateValues" dxfId="640" priority="1543"/>
    <cfRule type="duplicateValues" dxfId="639" priority="1544"/>
    <cfRule type="duplicateValues" dxfId="638" priority="1545"/>
    <cfRule type="duplicateValues" dxfId="637" priority="1546"/>
    <cfRule type="duplicateValues" dxfId="636" priority="1547"/>
    <cfRule type="duplicateValues" dxfId="635" priority="1548"/>
    <cfRule type="duplicateValues" dxfId="634" priority="1549"/>
    <cfRule type="duplicateValues" dxfId="633" priority="1550"/>
    <cfRule type="duplicateValues" dxfId="632" priority="1551"/>
    <cfRule type="duplicateValues" dxfId="631" priority="1552"/>
    <cfRule type="duplicateValues" dxfId="630" priority="1553"/>
    <cfRule type="duplicateValues" dxfId="629" priority="1554"/>
  </conditionalFormatting>
  <conditionalFormatting sqref="J11">
    <cfRule type="duplicateValues" dxfId="628" priority="1842"/>
    <cfRule type="duplicateValues" dxfId="627" priority="1843"/>
  </conditionalFormatting>
  <conditionalFormatting sqref="J12">
    <cfRule type="duplicateValues" dxfId="626" priority="1720"/>
    <cfRule type="duplicateValues" dxfId="625" priority="1721"/>
    <cfRule type="duplicateValues" dxfId="624" priority="1722"/>
    <cfRule type="duplicateValues" dxfId="623" priority="1723"/>
    <cfRule type="duplicateValues" dxfId="622" priority="1724"/>
    <cfRule type="duplicateValues" dxfId="621" priority="1725"/>
    <cfRule type="duplicateValues" dxfId="620" priority="1726"/>
    <cfRule type="duplicateValues" dxfId="619" priority="1727"/>
    <cfRule type="duplicateValues" dxfId="618" priority="1728"/>
    <cfRule type="duplicateValues" dxfId="617" priority="1729"/>
  </conditionalFormatting>
  <conditionalFormatting sqref="J13">
    <cfRule type="duplicateValues" dxfId="616" priority="1209"/>
    <cfRule type="duplicateValues" dxfId="615" priority="1210"/>
    <cfRule type="duplicateValues" dxfId="614" priority="1211"/>
  </conditionalFormatting>
  <conditionalFormatting sqref="J14">
    <cfRule type="duplicateValues" dxfId="613" priority="1829"/>
  </conditionalFormatting>
  <conditionalFormatting sqref="J15">
    <cfRule type="duplicateValues" dxfId="612" priority="1586"/>
    <cfRule type="duplicateValues" dxfId="611" priority="1587"/>
    <cfRule type="duplicateValues" dxfId="610" priority="1588"/>
    <cfRule type="duplicateValues" dxfId="609" priority="1589"/>
    <cfRule type="duplicateValues" dxfId="608" priority="1590"/>
  </conditionalFormatting>
  <conditionalFormatting sqref="J16">
    <cfRule type="duplicateValues" dxfId="607" priority="1736"/>
    <cfRule type="duplicateValues" dxfId="606" priority="1737"/>
    <cfRule type="duplicateValues" dxfId="605" priority="1738"/>
    <cfRule type="duplicateValues" dxfId="604" priority="1739"/>
  </conditionalFormatting>
  <conditionalFormatting sqref="J17">
    <cfRule type="duplicateValues" dxfId="603" priority="1760"/>
    <cfRule type="duplicateValues" dxfId="602" priority="1761"/>
  </conditionalFormatting>
  <conditionalFormatting sqref="J18">
    <cfRule type="duplicateValues" dxfId="601" priority="1667"/>
    <cfRule type="duplicateValues" dxfId="600" priority="1668"/>
    <cfRule type="duplicateValues" dxfId="599" priority="1669"/>
    <cfRule type="duplicateValues" dxfId="598" priority="1670"/>
    <cfRule type="duplicateValues" dxfId="597" priority="1671"/>
    <cfRule type="duplicateValues" dxfId="596" priority="1672"/>
    <cfRule type="duplicateValues" dxfId="595" priority="1673"/>
    <cfRule type="duplicateValues" dxfId="594" priority="1674"/>
    <cfRule type="duplicateValues" dxfId="593" priority="1675"/>
    <cfRule type="duplicateValues" dxfId="592" priority="1676"/>
    <cfRule type="duplicateValues" dxfId="591" priority="1677"/>
    <cfRule type="duplicateValues" dxfId="590" priority="1678"/>
    <cfRule type="duplicateValues" dxfId="589" priority="1679"/>
    <cfRule type="duplicateValues" dxfId="588" priority="1680"/>
    <cfRule type="duplicateValues" dxfId="587" priority="1681"/>
    <cfRule type="duplicateValues" dxfId="586" priority="1682"/>
    <cfRule type="duplicateValues" dxfId="585" priority="1683"/>
    <cfRule type="duplicateValues" dxfId="584" priority="1684"/>
  </conditionalFormatting>
  <conditionalFormatting sqref="J20">
    <cfRule type="duplicateValues" dxfId="583" priority="1461"/>
    <cfRule type="duplicateValues" dxfId="582" priority="1462"/>
    <cfRule type="duplicateValues" dxfId="581" priority="1463"/>
    <cfRule type="duplicateValues" dxfId="580" priority="1464"/>
    <cfRule type="duplicateValues" dxfId="579" priority="1465"/>
    <cfRule type="duplicateValues" dxfId="578" priority="1466"/>
    <cfRule type="duplicateValues" dxfId="577" priority="1467"/>
    <cfRule type="duplicateValues" dxfId="576" priority="1468"/>
    <cfRule type="duplicateValues" dxfId="575" priority="1469"/>
    <cfRule type="duplicateValues" dxfId="574" priority="1470"/>
    <cfRule type="duplicateValues" dxfId="573" priority="1471"/>
    <cfRule type="duplicateValues" dxfId="572" priority="1472"/>
    <cfRule type="duplicateValues" dxfId="571" priority="1473"/>
    <cfRule type="duplicateValues" dxfId="570" priority="1474"/>
    <cfRule type="duplicateValues" dxfId="569" priority="1475"/>
    <cfRule type="duplicateValues" dxfId="568" priority="1476"/>
    <cfRule type="duplicateValues" dxfId="567" priority="1477"/>
  </conditionalFormatting>
  <conditionalFormatting sqref="J21">
    <cfRule type="duplicateValues" dxfId="566" priority="1521"/>
    <cfRule type="duplicateValues" dxfId="565" priority="1522"/>
    <cfRule type="duplicateValues" dxfId="564" priority="1523"/>
    <cfRule type="duplicateValues" dxfId="563" priority="1524"/>
  </conditionalFormatting>
  <conditionalFormatting sqref="J22">
    <cfRule type="duplicateValues" dxfId="562" priority="1792"/>
    <cfRule type="duplicateValues" dxfId="561" priority="1793"/>
    <cfRule type="duplicateValues" dxfId="560" priority="1794"/>
    <cfRule type="duplicateValues" dxfId="559" priority="1795"/>
    <cfRule type="duplicateValues" dxfId="558" priority="1796"/>
    <cfRule type="duplicateValues" dxfId="557" priority="1797"/>
  </conditionalFormatting>
  <conditionalFormatting sqref="J23">
    <cfRule type="duplicateValues" dxfId="556" priority="1685"/>
    <cfRule type="duplicateValues" dxfId="555" priority="1686"/>
    <cfRule type="duplicateValues" dxfId="554" priority="1687"/>
    <cfRule type="duplicateValues" dxfId="553" priority="1688"/>
    <cfRule type="duplicateValues" dxfId="552" priority="1689"/>
    <cfRule type="duplicateValues" dxfId="551" priority="1690"/>
    <cfRule type="duplicateValues" dxfId="550" priority="1691"/>
    <cfRule type="duplicateValues" dxfId="549" priority="1692"/>
    <cfRule type="duplicateValues" dxfId="548" priority="1693"/>
    <cfRule type="duplicateValues" dxfId="547" priority="1694"/>
    <cfRule type="duplicateValues" dxfId="546" priority="1695"/>
    <cfRule type="duplicateValues" dxfId="545" priority="1696"/>
    <cfRule type="duplicateValues" dxfId="544" priority="1697"/>
    <cfRule type="duplicateValues" dxfId="543" priority="1698"/>
    <cfRule type="duplicateValues" dxfId="542" priority="1699"/>
    <cfRule type="duplicateValues" dxfId="541" priority="1700"/>
    <cfRule type="duplicateValues" dxfId="540" priority="1701"/>
  </conditionalFormatting>
  <conditionalFormatting sqref="J24">
    <cfRule type="duplicateValues" dxfId="539" priority="387"/>
    <cfRule type="duplicateValues" dxfId="538" priority="388"/>
  </conditionalFormatting>
  <conditionalFormatting sqref="J25">
    <cfRule type="duplicateValues" dxfId="537" priority="385"/>
    <cfRule type="duplicateValues" dxfId="536" priority="386"/>
  </conditionalFormatting>
  <conditionalFormatting sqref="J26">
    <cfRule type="duplicateValues" dxfId="535" priority="383"/>
    <cfRule type="duplicateValues" dxfId="534" priority="384"/>
  </conditionalFormatting>
  <conditionalFormatting sqref="J27">
    <cfRule type="duplicateValues" dxfId="533" priority="377"/>
    <cfRule type="duplicateValues" dxfId="532" priority="378"/>
    <cfRule type="duplicateValues" dxfId="531" priority="379"/>
    <cfRule type="duplicateValues" dxfId="530" priority="380"/>
  </conditionalFormatting>
  <conditionalFormatting sqref="J28:J29">
    <cfRule type="duplicateValues" dxfId="529" priority="1212"/>
    <cfRule type="duplicateValues" dxfId="528" priority="1213"/>
    <cfRule type="duplicateValues" dxfId="527" priority="1214"/>
    <cfRule type="duplicateValues" dxfId="526" priority="1215"/>
    <cfRule type="duplicateValues" dxfId="525" priority="1216"/>
    <cfRule type="duplicateValues" dxfId="524" priority="1217"/>
  </conditionalFormatting>
  <conditionalFormatting sqref="J30">
    <cfRule type="duplicateValues" dxfId="523" priority="1838"/>
    <cfRule type="duplicateValues" dxfId="522" priority="1839"/>
  </conditionalFormatting>
  <conditionalFormatting sqref="J31">
    <cfRule type="duplicateValues" dxfId="521" priority="1555"/>
    <cfRule type="duplicateValues" dxfId="520" priority="1556"/>
    <cfRule type="duplicateValues" dxfId="519" priority="1557"/>
    <cfRule type="duplicateValues" dxfId="518" priority="1558"/>
  </conditionalFormatting>
  <conditionalFormatting sqref="J32">
    <cfRule type="duplicateValues" dxfId="517" priority="1525"/>
    <cfRule type="duplicateValues" dxfId="516" priority="1526"/>
    <cfRule type="duplicateValues" dxfId="515" priority="1527"/>
    <cfRule type="duplicateValues" dxfId="514" priority="1528"/>
    <cfRule type="duplicateValues" dxfId="513" priority="1529"/>
    <cfRule type="duplicateValues" dxfId="512" priority="1530"/>
    <cfRule type="duplicateValues" dxfId="511" priority="1531"/>
    <cfRule type="duplicateValues" dxfId="510" priority="1532"/>
    <cfRule type="duplicateValues" dxfId="509" priority="1533"/>
  </conditionalFormatting>
  <conditionalFormatting sqref="J33">
    <cfRule type="duplicateValues" dxfId="508" priority="1512"/>
    <cfRule type="duplicateValues" dxfId="507" priority="1513"/>
    <cfRule type="duplicateValues" dxfId="506" priority="1514"/>
    <cfRule type="duplicateValues" dxfId="505" priority="1515"/>
    <cfRule type="duplicateValues" dxfId="504" priority="1516"/>
    <cfRule type="duplicateValues" dxfId="503" priority="1517"/>
    <cfRule type="duplicateValues" dxfId="502" priority="1518"/>
    <cfRule type="duplicateValues" dxfId="501" priority="1519"/>
    <cfRule type="duplicateValues" dxfId="500" priority="1520"/>
  </conditionalFormatting>
  <conditionalFormatting sqref="J34">
    <cfRule type="duplicateValues" dxfId="499" priority="1408"/>
    <cfRule type="duplicateValues" dxfId="498" priority="1409"/>
    <cfRule type="duplicateValues" dxfId="497" priority="1410"/>
    <cfRule type="duplicateValues" dxfId="496" priority="1411"/>
    <cfRule type="duplicateValues" dxfId="495" priority="1412"/>
    <cfRule type="duplicateValues" dxfId="494" priority="1413"/>
    <cfRule type="duplicateValues" dxfId="493" priority="1414"/>
    <cfRule type="duplicateValues" dxfId="492" priority="1415"/>
    <cfRule type="duplicateValues" dxfId="491" priority="1416"/>
    <cfRule type="duplicateValues" dxfId="490" priority="1417"/>
    <cfRule type="duplicateValues" dxfId="489" priority="1418"/>
    <cfRule type="duplicateValues" dxfId="488" priority="1419"/>
    <cfRule type="duplicateValues" dxfId="487" priority="1420"/>
    <cfRule type="duplicateValues" dxfId="486" priority="1421"/>
    <cfRule type="duplicateValues" dxfId="485" priority="1422"/>
    <cfRule type="duplicateValues" dxfId="484" priority="1423"/>
    <cfRule type="duplicateValues" dxfId="483" priority="1424"/>
    <cfRule type="duplicateValues" dxfId="482" priority="1425"/>
    <cfRule type="duplicateValues" dxfId="481" priority="1426"/>
    <cfRule type="duplicateValues" dxfId="480" priority="1427"/>
    <cfRule type="duplicateValues" dxfId="479" priority="1428"/>
    <cfRule type="duplicateValues" dxfId="478" priority="1429"/>
    <cfRule type="duplicateValues" dxfId="477" priority="1430"/>
    <cfRule type="duplicateValues" dxfId="476" priority="1431"/>
    <cfRule type="duplicateValues" dxfId="475" priority="1432"/>
    <cfRule type="duplicateValues" dxfId="474" priority="1433"/>
    <cfRule type="duplicateValues" dxfId="473" priority="1434"/>
    <cfRule type="duplicateValues" dxfId="472" priority="1435"/>
    <cfRule type="duplicateValues" dxfId="471" priority="1436"/>
    <cfRule type="duplicateValues" dxfId="470" priority="1437"/>
    <cfRule type="duplicateValues" dxfId="469" priority="1438"/>
    <cfRule type="duplicateValues" dxfId="468" priority="1439"/>
    <cfRule type="duplicateValues" dxfId="467" priority="1440"/>
    <cfRule type="duplicateValues" dxfId="466" priority="1441"/>
    <cfRule type="duplicateValues" dxfId="465" priority="1442"/>
    <cfRule type="duplicateValues" dxfId="464" priority="1443"/>
    <cfRule type="duplicateValues" dxfId="463" priority="1444"/>
    <cfRule type="duplicateValues" dxfId="462" priority="1445"/>
    <cfRule type="duplicateValues" dxfId="461" priority="1446"/>
    <cfRule type="duplicateValues" dxfId="460" priority="1447"/>
  </conditionalFormatting>
  <conditionalFormatting sqref="J35">
    <cfRule type="duplicateValues" dxfId="459" priority="1840"/>
    <cfRule type="duplicateValues" dxfId="458" priority="1841"/>
  </conditionalFormatting>
  <conditionalFormatting sqref="J36:J37">
    <cfRule type="duplicateValues" dxfId="457" priority="1171"/>
    <cfRule type="duplicateValues" dxfId="456" priority="1172"/>
    <cfRule type="duplicateValues" dxfId="455" priority="1173"/>
    <cfRule type="duplicateValues" dxfId="454" priority="1174"/>
    <cfRule type="duplicateValues" dxfId="453" priority="1175"/>
    <cfRule type="duplicateValues" dxfId="452" priority="1176"/>
    <cfRule type="duplicateValues" dxfId="451" priority="1177"/>
  </conditionalFormatting>
  <conditionalFormatting sqref="J38">
    <cfRule type="duplicateValues" dxfId="450" priority="1748"/>
    <cfRule type="duplicateValues" dxfId="449" priority="1749"/>
    <cfRule type="duplicateValues" dxfId="448" priority="1750"/>
    <cfRule type="duplicateValues" dxfId="447" priority="1751"/>
    <cfRule type="duplicateValues" dxfId="446" priority="1752"/>
    <cfRule type="duplicateValues" dxfId="445" priority="1753"/>
    <cfRule type="duplicateValues" dxfId="444" priority="1754"/>
    <cfRule type="duplicateValues" dxfId="443" priority="1755"/>
    <cfRule type="duplicateValues" dxfId="442" priority="1756"/>
    <cfRule type="duplicateValues" dxfId="441" priority="1757"/>
    <cfRule type="duplicateValues" dxfId="440" priority="1758"/>
    <cfRule type="duplicateValues" dxfId="439" priority="1759"/>
  </conditionalFormatting>
  <conditionalFormatting sqref="J39">
    <cfRule type="duplicateValues" dxfId="438" priority="1263"/>
    <cfRule type="duplicateValues" dxfId="437" priority="1264"/>
    <cfRule type="duplicateValues" dxfId="436" priority="1265"/>
    <cfRule type="duplicateValues" dxfId="435" priority="1266"/>
  </conditionalFormatting>
  <conditionalFormatting sqref="J40">
    <cfRule type="duplicateValues" dxfId="434" priority="1178"/>
    <cfRule type="duplicateValues" dxfId="433" priority="1179"/>
    <cfRule type="duplicateValues" dxfId="432" priority="1180"/>
    <cfRule type="duplicateValues" dxfId="431" priority="1181"/>
    <cfRule type="duplicateValues" dxfId="430" priority="1182"/>
    <cfRule type="duplicateValues" dxfId="429" priority="1183"/>
    <cfRule type="duplicateValues" dxfId="428" priority="1184"/>
    <cfRule type="duplicateValues" dxfId="427" priority="1185"/>
    <cfRule type="duplicateValues" dxfId="426" priority="1186"/>
    <cfRule type="duplicateValues" dxfId="425" priority="1187"/>
    <cfRule type="duplicateValues" dxfId="424" priority="1188"/>
    <cfRule type="duplicateValues" dxfId="423" priority="1189"/>
    <cfRule type="duplicateValues" dxfId="422" priority="1190"/>
  </conditionalFormatting>
  <conditionalFormatting sqref="J41">
    <cfRule type="duplicateValues" dxfId="421" priority="1639"/>
    <cfRule type="duplicateValues" dxfId="420" priority="1640"/>
    <cfRule type="duplicateValues" dxfId="419" priority="1641"/>
    <cfRule type="duplicateValues" dxfId="418" priority="1642"/>
    <cfRule type="duplicateValues" dxfId="417" priority="1643"/>
    <cfRule type="duplicateValues" dxfId="416" priority="1644"/>
    <cfRule type="duplicateValues" dxfId="415" priority="1645"/>
    <cfRule type="duplicateValues" dxfId="414" priority="1646"/>
    <cfRule type="duplicateValues" dxfId="413" priority="1647"/>
    <cfRule type="duplicateValues" dxfId="412" priority="1648"/>
    <cfRule type="duplicateValues" dxfId="411" priority="1649"/>
    <cfRule type="duplicateValues" dxfId="410" priority="1650"/>
    <cfRule type="duplicateValues" dxfId="409" priority="1651"/>
    <cfRule type="duplicateValues" dxfId="408" priority="1652"/>
    <cfRule type="duplicateValues" dxfId="407" priority="1653"/>
    <cfRule type="duplicateValues" dxfId="406" priority="1654"/>
    <cfRule type="duplicateValues" dxfId="405" priority="1655"/>
    <cfRule type="duplicateValues" dxfId="404" priority="1656"/>
    <cfRule type="duplicateValues" dxfId="403" priority="1657"/>
    <cfRule type="duplicateValues" dxfId="402" priority="1658"/>
    <cfRule type="duplicateValues" dxfId="401" priority="1659"/>
    <cfRule type="duplicateValues" dxfId="400" priority="1660"/>
    <cfRule type="duplicateValues" dxfId="399" priority="1661"/>
    <cfRule type="duplicateValues" dxfId="398" priority="1662"/>
    <cfRule type="duplicateValues" dxfId="397" priority="1663"/>
    <cfRule type="duplicateValues" dxfId="396" priority="1664"/>
    <cfRule type="duplicateValues" dxfId="395" priority="1665"/>
    <cfRule type="duplicateValues" dxfId="394" priority="1666"/>
  </conditionalFormatting>
  <conditionalFormatting sqref="J42">
    <cfRule type="duplicateValues" dxfId="393" priority="1491"/>
    <cfRule type="duplicateValues" dxfId="392" priority="1492"/>
    <cfRule type="duplicateValues" dxfId="391" priority="1493"/>
    <cfRule type="duplicateValues" dxfId="390" priority="1494"/>
    <cfRule type="duplicateValues" dxfId="389" priority="1495"/>
  </conditionalFormatting>
  <conditionalFormatting sqref="J43">
    <cfRule type="duplicateValues" dxfId="388" priority="1330"/>
    <cfRule type="duplicateValues" dxfId="387" priority="1331"/>
    <cfRule type="duplicateValues" dxfId="386" priority="1332"/>
    <cfRule type="duplicateValues" dxfId="385" priority="1333"/>
    <cfRule type="duplicateValues" dxfId="384" priority="1334"/>
    <cfRule type="duplicateValues" dxfId="383" priority="1335"/>
    <cfRule type="duplicateValues" dxfId="382" priority="1336"/>
    <cfRule type="duplicateValues" dxfId="381" priority="1337"/>
    <cfRule type="duplicateValues" dxfId="380" priority="1338"/>
    <cfRule type="duplicateValues" dxfId="379" priority="1339"/>
    <cfRule type="duplicateValues" dxfId="378" priority="1340"/>
    <cfRule type="duplicateValues" dxfId="377" priority="1341"/>
    <cfRule type="duplicateValues" dxfId="376" priority="1342"/>
    <cfRule type="duplicateValues" dxfId="375" priority="1343"/>
    <cfRule type="duplicateValues" dxfId="374" priority="1344"/>
    <cfRule type="duplicateValues" dxfId="373" priority="1345"/>
    <cfRule type="duplicateValues" dxfId="372" priority="1346"/>
    <cfRule type="duplicateValues" dxfId="371" priority="1347"/>
    <cfRule type="duplicateValues" dxfId="370" priority="1348"/>
    <cfRule type="duplicateValues" dxfId="369" priority="1349"/>
    <cfRule type="duplicateValues" dxfId="368" priority="1350"/>
    <cfRule type="duplicateValues" dxfId="367" priority="1351"/>
  </conditionalFormatting>
  <conditionalFormatting sqref="J44">
    <cfRule type="duplicateValues" dxfId="366" priority="1850"/>
    <cfRule type="duplicateValues" dxfId="365" priority="1851"/>
  </conditionalFormatting>
  <conditionalFormatting sqref="J45">
    <cfRule type="duplicateValues" dxfId="364" priority="1830"/>
    <cfRule type="duplicateValues" dxfId="363" priority="1831"/>
    <cfRule type="duplicateValues" dxfId="362" priority="1832"/>
  </conditionalFormatting>
  <conditionalFormatting sqref="J46">
    <cfRule type="duplicateValues" dxfId="361" priority="1833"/>
    <cfRule type="duplicateValues" dxfId="360" priority="1834"/>
    <cfRule type="duplicateValues" dxfId="359" priority="1835"/>
    <cfRule type="duplicateValues" dxfId="358" priority="1836"/>
    <cfRule type="duplicateValues" dxfId="357" priority="1837"/>
  </conditionalFormatting>
  <conditionalFormatting sqref="J47">
    <cfRule type="duplicateValues" dxfId="356" priority="1276"/>
    <cfRule type="duplicateValues" dxfId="355" priority="1277"/>
    <cfRule type="duplicateValues" dxfId="354" priority="1278"/>
    <cfRule type="duplicateValues" dxfId="353" priority="1279"/>
    <cfRule type="duplicateValues" dxfId="352" priority="1280"/>
    <cfRule type="duplicateValues" dxfId="351" priority="1281"/>
    <cfRule type="duplicateValues" dxfId="350" priority="1282"/>
    <cfRule type="duplicateValues" dxfId="349" priority="1283"/>
    <cfRule type="duplicateValues" dxfId="348" priority="1284"/>
    <cfRule type="duplicateValues" dxfId="347" priority="1285"/>
    <cfRule type="duplicateValues" dxfId="346" priority="1286"/>
    <cfRule type="duplicateValues" dxfId="345" priority="1287"/>
    <cfRule type="duplicateValues" dxfId="344" priority="1288"/>
    <cfRule type="duplicateValues" dxfId="343" priority="1289"/>
    <cfRule type="duplicateValues" dxfId="342" priority="1290"/>
    <cfRule type="duplicateValues" dxfId="341" priority="1291"/>
    <cfRule type="duplicateValues" dxfId="340" priority="1292"/>
    <cfRule type="duplicateValues" dxfId="339" priority="1293"/>
    <cfRule type="duplicateValues" dxfId="338" priority="1294"/>
  </conditionalFormatting>
  <conditionalFormatting sqref="J48">
    <cfRule type="duplicateValues" dxfId="337" priority="1711"/>
    <cfRule type="duplicateValues" dxfId="336" priority="1712"/>
    <cfRule type="duplicateValues" dxfId="335" priority="1713"/>
    <cfRule type="duplicateValues" dxfId="334" priority="1714"/>
    <cfRule type="duplicateValues" dxfId="333" priority="1715"/>
    <cfRule type="duplicateValues" dxfId="332" priority="1716"/>
    <cfRule type="duplicateValues" dxfId="331" priority="1717"/>
    <cfRule type="duplicateValues" dxfId="330" priority="1718"/>
    <cfRule type="duplicateValues" dxfId="329" priority="1719"/>
  </conditionalFormatting>
  <conditionalFormatting sqref="J49">
    <cfRule type="duplicateValues" dxfId="328" priority="1591"/>
    <cfRule type="duplicateValues" dxfId="327" priority="1592"/>
    <cfRule type="duplicateValues" dxfId="326" priority="1593"/>
    <cfRule type="duplicateValues" dxfId="325" priority="1594"/>
    <cfRule type="duplicateValues" dxfId="324" priority="1595"/>
    <cfRule type="duplicateValues" dxfId="323" priority="1596"/>
    <cfRule type="duplicateValues" dxfId="322" priority="1597"/>
    <cfRule type="duplicateValues" dxfId="321" priority="1598"/>
    <cfRule type="duplicateValues" dxfId="320" priority="1599"/>
    <cfRule type="duplicateValues" dxfId="319" priority="1600"/>
    <cfRule type="duplicateValues" dxfId="318" priority="1601"/>
    <cfRule type="duplicateValues" dxfId="317" priority="1602"/>
    <cfRule type="duplicateValues" dxfId="316" priority="1603"/>
    <cfRule type="duplicateValues" dxfId="315" priority="1604"/>
    <cfRule type="duplicateValues" dxfId="314" priority="1605"/>
    <cfRule type="duplicateValues" dxfId="313" priority="1606"/>
    <cfRule type="duplicateValues" dxfId="312" priority="1607"/>
    <cfRule type="duplicateValues" dxfId="311" priority="1608"/>
    <cfRule type="duplicateValues" dxfId="310" priority="1609"/>
    <cfRule type="duplicateValues" dxfId="309" priority="1610"/>
  </conditionalFormatting>
  <conditionalFormatting sqref="J50">
    <cfRule type="duplicateValues" dxfId="308" priority="1218"/>
    <cfRule type="duplicateValues" dxfId="307" priority="1219"/>
  </conditionalFormatting>
  <conditionalFormatting sqref="J51">
    <cfRule type="duplicateValues" dxfId="306" priority="1852"/>
    <cfRule type="duplicateValues" dxfId="305" priority="1853"/>
    <cfRule type="duplicateValues" dxfId="304" priority="1854"/>
    <cfRule type="duplicateValues" dxfId="303" priority="1855"/>
  </conditionalFormatting>
  <conditionalFormatting sqref="J52">
    <cfRule type="duplicateValues" dxfId="302" priority="1559"/>
    <cfRule type="duplicateValues" dxfId="301" priority="1560"/>
    <cfRule type="duplicateValues" dxfId="300" priority="1561"/>
    <cfRule type="duplicateValues" dxfId="299" priority="1562"/>
    <cfRule type="duplicateValues" dxfId="298" priority="1563"/>
  </conditionalFormatting>
  <conditionalFormatting sqref="J54">
    <cfRule type="duplicateValues" dxfId="297" priority="1220"/>
    <cfRule type="duplicateValues" dxfId="296" priority="1221"/>
    <cfRule type="duplicateValues" dxfId="295" priority="1222"/>
    <cfRule type="duplicateValues" dxfId="294" priority="1223"/>
    <cfRule type="duplicateValues" dxfId="293" priority="1224"/>
    <cfRule type="duplicateValues" dxfId="292" priority="1225"/>
    <cfRule type="duplicateValues" dxfId="291" priority="1226"/>
  </conditionalFormatting>
  <conditionalFormatting sqref="J55">
    <cfRule type="duplicateValues" dxfId="290" priority="1262"/>
  </conditionalFormatting>
  <conditionalFormatting sqref="J56">
    <cfRule type="duplicateValues" dxfId="289" priority="1481"/>
    <cfRule type="duplicateValues" dxfId="288" priority="1482"/>
    <cfRule type="duplicateValues" dxfId="287" priority="1483"/>
    <cfRule type="duplicateValues" dxfId="286" priority="1484"/>
    <cfRule type="duplicateValues" dxfId="285" priority="1485"/>
    <cfRule type="duplicateValues" dxfId="284" priority="1486"/>
  </conditionalFormatting>
  <conditionalFormatting sqref="J57">
    <cfRule type="duplicateValues" dxfId="283" priority="1798"/>
    <cfRule type="duplicateValues" dxfId="282" priority="1799"/>
    <cfRule type="duplicateValues" dxfId="281" priority="1800"/>
    <cfRule type="duplicateValues" dxfId="280" priority="1801"/>
    <cfRule type="duplicateValues" dxfId="279" priority="1802"/>
    <cfRule type="duplicateValues" dxfId="278" priority="1803"/>
    <cfRule type="duplicateValues" dxfId="277" priority="1804"/>
    <cfRule type="duplicateValues" dxfId="276" priority="1805"/>
  </conditionalFormatting>
  <conditionalFormatting sqref="J57:J58 J8:J9 J30 J65:J66 J11:J12 J41 J22:J23 J68:J70 J14:J18 J62 J38 J35 J72 J76:J78 J44:J51">
    <cfRule type="duplicateValues" dxfId="275" priority="1857"/>
  </conditionalFormatting>
  <conditionalFormatting sqref="J57:J58 J8:J9 J72 J30 J11:J12 J22:J23 J68:J70 J14:J18 J62 J35 J38 J65:J66 J41 J4 J44:J51 J76:J78">
    <cfRule type="duplicateValues" dxfId="274" priority="1571"/>
  </conditionalFormatting>
  <conditionalFormatting sqref="J58">
    <cfRule type="duplicateValues" dxfId="273" priority="1806"/>
    <cfRule type="duplicateValues" dxfId="272" priority="1807"/>
    <cfRule type="duplicateValues" dxfId="271" priority="1808"/>
    <cfRule type="duplicateValues" dxfId="270" priority="1809"/>
    <cfRule type="duplicateValues" dxfId="269" priority="1810"/>
  </conditionalFormatting>
  <conditionalFormatting sqref="J59">
    <cfRule type="duplicateValues" dxfId="268" priority="1207"/>
    <cfRule type="duplicateValues" dxfId="267" priority="1208"/>
  </conditionalFormatting>
  <conditionalFormatting sqref="J60">
    <cfRule type="duplicateValues" dxfId="266" priority="1240"/>
    <cfRule type="duplicateValues" dxfId="265" priority="1241"/>
    <cfRule type="duplicateValues" dxfId="264" priority="1242"/>
    <cfRule type="duplicateValues" dxfId="263" priority="1243"/>
    <cfRule type="duplicateValues" dxfId="262" priority="1244"/>
    <cfRule type="duplicateValues" dxfId="261" priority="1245"/>
    <cfRule type="duplicateValues" dxfId="260" priority="1246"/>
    <cfRule type="duplicateValues" dxfId="259" priority="1247"/>
    <cfRule type="duplicateValues" dxfId="258" priority="1248"/>
    <cfRule type="duplicateValues" dxfId="257" priority="1249"/>
    <cfRule type="duplicateValues" dxfId="256" priority="1250"/>
    <cfRule type="duplicateValues" dxfId="255" priority="1251"/>
    <cfRule type="duplicateValues" dxfId="254" priority="1252"/>
    <cfRule type="duplicateValues" dxfId="253" priority="1253"/>
    <cfRule type="duplicateValues" dxfId="252" priority="1254"/>
    <cfRule type="duplicateValues" dxfId="251" priority="1255"/>
    <cfRule type="duplicateValues" dxfId="250" priority="1256"/>
    <cfRule type="duplicateValues" dxfId="249" priority="1257"/>
    <cfRule type="duplicateValues" dxfId="248" priority="1258"/>
  </conditionalFormatting>
  <conditionalFormatting sqref="J61">
    <cfRule type="duplicateValues" dxfId="247" priority="1227"/>
    <cfRule type="duplicateValues" dxfId="246" priority="1228"/>
    <cfRule type="duplicateValues" dxfId="245" priority="1229"/>
    <cfRule type="duplicateValues" dxfId="244" priority="1230"/>
    <cfRule type="duplicateValues" dxfId="243" priority="1231"/>
    <cfRule type="duplicateValues" dxfId="242" priority="1232"/>
    <cfRule type="duplicateValues" dxfId="241" priority="1233"/>
    <cfRule type="duplicateValues" dxfId="240" priority="1234"/>
    <cfRule type="duplicateValues" dxfId="239" priority="1235"/>
    <cfRule type="duplicateValues" dxfId="238" priority="1236"/>
    <cfRule type="duplicateValues" dxfId="237" priority="1237"/>
    <cfRule type="duplicateValues" dxfId="236" priority="1238"/>
    <cfRule type="duplicateValues" dxfId="235" priority="1239"/>
  </conditionalFormatting>
  <conditionalFormatting sqref="J62">
    <cfRule type="duplicateValues" dxfId="234" priority="1780"/>
    <cfRule type="duplicateValues" dxfId="233" priority="1781"/>
    <cfRule type="duplicateValues" dxfId="232" priority="1782"/>
    <cfRule type="duplicateValues" dxfId="231" priority="1783"/>
    <cfRule type="duplicateValues" dxfId="230" priority="1784"/>
    <cfRule type="duplicateValues" dxfId="229" priority="1785"/>
    <cfRule type="duplicateValues" dxfId="228" priority="1786"/>
    <cfRule type="duplicateValues" dxfId="227" priority="1787"/>
    <cfRule type="duplicateValues" dxfId="226" priority="1788"/>
    <cfRule type="duplicateValues" dxfId="225" priority="1789"/>
    <cfRule type="duplicateValues" dxfId="224" priority="1790"/>
    <cfRule type="duplicateValues" dxfId="223" priority="1791"/>
  </conditionalFormatting>
  <conditionalFormatting sqref="J63">
    <cfRule type="duplicateValues" dxfId="222" priority="1564"/>
    <cfRule type="duplicateValues" dxfId="221" priority="1565"/>
    <cfRule type="duplicateValues" dxfId="220" priority="1566"/>
    <cfRule type="duplicateValues" dxfId="219" priority="1567"/>
    <cfRule type="duplicateValues" dxfId="218" priority="1568"/>
    <cfRule type="duplicateValues" dxfId="217" priority="1569"/>
    <cfRule type="duplicateValues" dxfId="216" priority="1570"/>
  </conditionalFormatting>
  <conditionalFormatting sqref="J64">
    <cfRule type="duplicateValues" dxfId="215" priority="1295"/>
    <cfRule type="duplicateValues" dxfId="214" priority="1296"/>
    <cfRule type="duplicateValues" dxfId="213" priority="1297"/>
    <cfRule type="duplicateValues" dxfId="212" priority="1298"/>
    <cfRule type="duplicateValues" dxfId="211" priority="1299"/>
    <cfRule type="duplicateValues" dxfId="210" priority="1300"/>
    <cfRule type="duplicateValues" dxfId="209" priority="1301"/>
    <cfRule type="duplicateValues" dxfId="208" priority="1302"/>
    <cfRule type="duplicateValues" dxfId="207" priority="1303"/>
    <cfRule type="duplicateValues" dxfId="206" priority="1304"/>
    <cfRule type="duplicateValues" dxfId="205" priority="1305"/>
    <cfRule type="duplicateValues" dxfId="204" priority="1306"/>
    <cfRule type="duplicateValues" dxfId="203" priority="1307"/>
    <cfRule type="duplicateValues" dxfId="202" priority="1308"/>
    <cfRule type="duplicateValues" dxfId="201" priority="1309"/>
    <cfRule type="duplicateValues" dxfId="200" priority="1310"/>
    <cfRule type="duplicateValues" dxfId="199" priority="1311"/>
    <cfRule type="duplicateValues" dxfId="198" priority="1312"/>
    <cfRule type="duplicateValues" dxfId="197" priority="1313"/>
    <cfRule type="duplicateValues" dxfId="196" priority="1314"/>
    <cfRule type="duplicateValues" dxfId="195" priority="1315"/>
    <cfRule type="duplicateValues" dxfId="194" priority="1316"/>
    <cfRule type="duplicateValues" dxfId="193" priority="1317"/>
    <cfRule type="duplicateValues" dxfId="192" priority="1318"/>
    <cfRule type="duplicateValues" dxfId="191" priority="1319"/>
    <cfRule type="duplicateValues" dxfId="190" priority="1320"/>
    <cfRule type="duplicateValues" dxfId="189" priority="1321"/>
    <cfRule type="duplicateValues" dxfId="188" priority="1322"/>
    <cfRule type="duplicateValues" dxfId="187" priority="1323"/>
    <cfRule type="duplicateValues" dxfId="186" priority="1324"/>
    <cfRule type="duplicateValues" dxfId="185" priority="1325"/>
    <cfRule type="duplicateValues" dxfId="184" priority="1326"/>
    <cfRule type="duplicateValues" dxfId="183" priority="1327"/>
    <cfRule type="duplicateValues" dxfId="182" priority="1328"/>
    <cfRule type="duplicateValues" dxfId="181" priority="1329"/>
  </conditionalFormatting>
  <conditionalFormatting sqref="J65">
    <cfRule type="duplicateValues" dxfId="180" priority="1740"/>
    <cfRule type="duplicateValues" dxfId="179" priority="1741"/>
    <cfRule type="duplicateValues" dxfId="178" priority="1742"/>
    <cfRule type="duplicateValues" dxfId="177" priority="1743"/>
    <cfRule type="duplicateValues" dxfId="176" priority="1744"/>
    <cfRule type="duplicateValues" dxfId="175" priority="1745"/>
    <cfRule type="duplicateValues" dxfId="174" priority="1746"/>
    <cfRule type="duplicateValues" dxfId="173" priority="1747"/>
  </conditionalFormatting>
  <conditionalFormatting sqref="J66">
    <cfRule type="duplicateValues" dxfId="172" priority="1730"/>
    <cfRule type="duplicateValues" dxfId="171" priority="1731"/>
    <cfRule type="duplicateValues" dxfId="170" priority="1732"/>
    <cfRule type="duplicateValues" dxfId="169" priority="1733"/>
    <cfRule type="duplicateValues" dxfId="168" priority="1734"/>
    <cfRule type="duplicateValues" dxfId="167" priority="1735"/>
  </conditionalFormatting>
  <conditionalFormatting sqref="J67">
    <cfRule type="duplicateValues" dxfId="166" priority="1448"/>
    <cfRule type="duplicateValues" dxfId="165" priority="1449"/>
    <cfRule type="duplicateValues" dxfId="164" priority="1450"/>
    <cfRule type="duplicateValues" dxfId="163" priority="1451"/>
    <cfRule type="duplicateValues" dxfId="162" priority="1452"/>
    <cfRule type="duplicateValues" dxfId="161" priority="1453"/>
    <cfRule type="duplicateValues" dxfId="160" priority="1454"/>
    <cfRule type="duplicateValues" dxfId="159" priority="1455"/>
    <cfRule type="duplicateValues" dxfId="158" priority="1456"/>
    <cfRule type="duplicateValues" dxfId="157" priority="1457"/>
    <cfRule type="duplicateValues" dxfId="156" priority="1458"/>
    <cfRule type="duplicateValues" dxfId="155" priority="1459"/>
    <cfRule type="duplicateValues" dxfId="154" priority="1460"/>
  </conditionalFormatting>
  <conditionalFormatting sqref="J68">
    <cfRule type="duplicateValues" dxfId="153" priority="1844"/>
    <cfRule type="duplicateValues" dxfId="152" priority="1845"/>
  </conditionalFormatting>
  <conditionalFormatting sqref="J69">
    <cfRule type="duplicateValues" dxfId="151" priority="1762"/>
    <cfRule type="duplicateValues" dxfId="150" priority="1763"/>
    <cfRule type="duplicateValues" dxfId="149" priority="1764"/>
    <cfRule type="duplicateValues" dxfId="148" priority="1765"/>
    <cfRule type="duplicateValues" dxfId="147" priority="1766"/>
    <cfRule type="duplicateValues" dxfId="146" priority="1767"/>
    <cfRule type="duplicateValues" dxfId="145" priority="1768"/>
    <cfRule type="duplicateValues" dxfId="144" priority="1769"/>
    <cfRule type="duplicateValues" dxfId="143" priority="1770"/>
    <cfRule type="duplicateValues" dxfId="142" priority="1771"/>
    <cfRule type="duplicateValues" dxfId="141" priority="1772"/>
    <cfRule type="duplicateValues" dxfId="140" priority="1773"/>
    <cfRule type="duplicateValues" dxfId="139" priority="1774"/>
    <cfRule type="duplicateValues" dxfId="138" priority="1775"/>
    <cfRule type="duplicateValues" dxfId="137" priority="1776"/>
    <cfRule type="duplicateValues" dxfId="136" priority="1777"/>
    <cfRule type="duplicateValues" dxfId="135" priority="1778"/>
    <cfRule type="duplicateValues" dxfId="134" priority="1779"/>
  </conditionalFormatting>
  <conditionalFormatting sqref="J70">
    <cfRule type="duplicateValues" dxfId="133" priority="1611"/>
    <cfRule type="duplicateValues" dxfId="132" priority="1612"/>
    <cfRule type="duplicateValues" dxfId="131" priority="1613"/>
    <cfRule type="duplicateValues" dxfId="130" priority="1614"/>
    <cfRule type="duplicateValues" dxfId="129" priority="1615"/>
    <cfRule type="duplicateValues" dxfId="128" priority="1616"/>
    <cfRule type="duplicateValues" dxfId="127" priority="1617"/>
    <cfRule type="duplicateValues" dxfId="126" priority="1618"/>
    <cfRule type="duplicateValues" dxfId="125" priority="1619"/>
    <cfRule type="duplicateValues" dxfId="124" priority="1620"/>
    <cfRule type="duplicateValues" dxfId="123" priority="1621"/>
    <cfRule type="duplicateValues" dxfId="122" priority="1622"/>
    <cfRule type="duplicateValues" dxfId="121" priority="1623"/>
    <cfRule type="duplicateValues" dxfId="120" priority="1624"/>
    <cfRule type="duplicateValues" dxfId="119" priority="1625"/>
    <cfRule type="duplicateValues" dxfId="118" priority="1626"/>
    <cfRule type="duplicateValues" dxfId="117" priority="1627"/>
    <cfRule type="duplicateValues" dxfId="116" priority="1628"/>
    <cfRule type="duplicateValues" dxfId="115" priority="1629"/>
    <cfRule type="duplicateValues" dxfId="114" priority="1630"/>
    <cfRule type="duplicateValues" dxfId="113" priority="1631"/>
    <cfRule type="duplicateValues" dxfId="112" priority="1632"/>
    <cfRule type="duplicateValues" dxfId="111" priority="1633"/>
    <cfRule type="duplicateValues" dxfId="110" priority="1634"/>
    <cfRule type="duplicateValues" dxfId="109" priority="1635"/>
    <cfRule type="duplicateValues" dxfId="108" priority="1636"/>
    <cfRule type="duplicateValues" dxfId="107" priority="1637"/>
    <cfRule type="duplicateValues" dxfId="106" priority="1638"/>
  </conditionalFormatting>
  <conditionalFormatting sqref="J71">
    <cfRule type="duplicateValues" dxfId="105" priority="1507"/>
    <cfRule type="duplicateValues" dxfId="104" priority="1508"/>
    <cfRule type="duplicateValues" dxfId="103" priority="1509"/>
    <cfRule type="duplicateValues" dxfId="102" priority="1510"/>
    <cfRule type="duplicateValues" dxfId="101" priority="1511"/>
  </conditionalFormatting>
  <conditionalFormatting sqref="J72">
    <cfRule type="duplicateValues" dxfId="100" priority="1811"/>
    <cfRule type="duplicateValues" dxfId="99" priority="1812"/>
    <cfRule type="duplicateValues" dxfId="98" priority="1813"/>
    <cfRule type="duplicateValues" dxfId="97" priority="1814"/>
    <cfRule type="duplicateValues" dxfId="96" priority="1815"/>
    <cfRule type="duplicateValues" dxfId="95" priority="1816"/>
    <cfRule type="duplicateValues" dxfId="94" priority="1817"/>
    <cfRule type="duplicateValues" dxfId="93" priority="1818"/>
  </conditionalFormatting>
  <conditionalFormatting sqref="J73">
    <cfRule type="duplicateValues" dxfId="92" priority="1352"/>
    <cfRule type="duplicateValues" dxfId="91" priority="1353"/>
    <cfRule type="duplicateValues" dxfId="90" priority="1354"/>
    <cfRule type="duplicateValues" dxfId="89" priority="1355"/>
    <cfRule type="duplicateValues" dxfId="88" priority="1356"/>
    <cfRule type="duplicateValues" dxfId="87" priority="1357"/>
    <cfRule type="duplicateValues" dxfId="86" priority="1358"/>
    <cfRule type="duplicateValues" dxfId="85" priority="1359"/>
    <cfRule type="duplicateValues" dxfId="84" priority="1360"/>
    <cfRule type="duplicateValues" dxfId="83" priority="1361"/>
    <cfRule type="duplicateValues" dxfId="82" priority="1362"/>
    <cfRule type="duplicateValues" dxfId="81" priority="1363"/>
    <cfRule type="duplicateValues" dxfId="80" priority="1364"/>
    <cfRule type="duplicateValues" dxfId="79" priority="1365"/>
    <cfRule type="duplicateValues" dxfId="78" priority="1366"/>
    <cfRule type="duplicateValues" dxfId="77" priority="1367"/>
    <cfRule type="duplicateValues" dxfId="76" priority="1368"/>
    <cfRule type="duplicateValues" dxfId="75" priority="1369"/>
    <cfRule type="duplicateValues" dxfId="74" priority="1370"/>
    <cfRule type="duplicateValues" dxfId="73" priority="1371"/>
    <cfRule type="duplicateValues" dxfId="72" priority="1372"/>
    <cfRule type="duplicateValues" dxfId="71" priority="1373"/>
    <cfRule type="duplicateValues" dxfId="70" priority="1374"/>
    <cfRule type="duplicateValues" dxfId="69" priority="1375"/>
    <cfRule type="duplicateValues" dxfId="68" priority="1376"/>
    <cfRule type="duplicateValues" dxfId="67" priority="1377"/>
    <cfRule type="duplicateValues" dxfId="66" priority="1378"/>
    <cfRule type="duplicateValues" dxfId="65" priority="1379"/>
    <cfRule type="duplicateValues" dxfId="64" priority="1380"/>
    <cfRule type="duplicateValues" dxfId="63" priority="1381"/>
    <cfRule type="duplicateValues" dxfId="62" priority="1382"/>
    <cfRule type="duplicateValues" dxfId="61" priority="1383"/>
    <cfRule type="duplicateValues" dxfId="60" priority="1384"/>
    <cfRule type="duplicateValues" dxfId="59" priority="1385"/>
    <cfRule type="duplicateValues" dxfId="58" priority="1386"/>
    <cfRule type="duplicateValues" dxfId="57" priority="1387"/>
    <cfRule type="duplicateValues" dxfId="56" priority="1388"/>
    <cfRule type="duplicateValues" dxfId="55" priority="1389"/>
    <cfRule type="duplicateValues" dxfId="54" priority="1390"/>
    <cfRule type="duplicateValues" dxfId="53" priority="1391"/>
    <cfRule type="duplicateValues" dxfId="52" priority="1392"/>
    <cfRule type="duplicateValues" dxfId="51" priority="1393"/>
    <cfRule type="duplicateValues" dxfId="50" priority="1394"/>
    <cfRule type="duplicateValues" dxfId="49" priority="1395"/>
    <cfRule type="duplicateValues" dxfId="48" priority="1396"/>
    <cfRule type="duplicateValues" dxfId="47" priority="1397"/>
    <cfRule type="duplicateValues" dxfId="46" priority="1398"/>
    <cfRule type="duplicateValues" dxfId="45" priority="1399"/>
    <cfRule type="duplicateValues" dxfId="44" priority="1400"/>
    <cfRule type="duplicateValues" dxfId="43" priority="1401"/>
    <cfRule type="duplicateValues" dxfId="42" priority="1402"/>
    <cfRule type="duplicateValues" dxfId="41" priority="1403"/>
    <cfRule type="duplicateValues" dxfId="40" priority="1404"/>
    <cfRule type="duplicateValues" dxfId="39" priority="1405"/>
    <cfRule type="duplicateValues" dxfId="38" priority="1406"/>
    <cfRule type="duplicateValues" dxfId="37" priority="1407"/>
  </conditionalFormatting>
  <conditionalFormatting sqref="J74">
    <cfRule type="duplicateValues" dxfId="36" priority="1478"/>
    <cfRule type="duplicateValues" dxfId="35" priority="1479"/>
    <cfRule type="duplicateValues" dxfId="34" priority="1480"/>
  </conditionalFormatting>
  <conditionalFormatting sqref="J75">
    <cfRule type="duplicateValues" dxfId="33" priority="1267"/>
    <cfRule type="duplicateValues" dxfId="32" priority="1268"/>
    <cfRule type="duplicateValues" dxfId="31" priority="1269"/>
    <cfRule type="duplicateValues" dxfId="30" priority="1270"/>
    <cfRule type="duplicateValues" dxfId="29" priority="1271"/>
    <cfRule type="duplicateValues" dxfId="28" priority="1272"/>
    <cfRule type="duplicateValues" dxfId="27" priority="1273"/>
    <cfRule type="duplicateValues" dxfId="26" priority="1274"/>
    <cfRule type="duplicateValues" dxfId="25" priority="1275"/>
  </conditionalFormatting>
  <conditionalFormatting sqref="J76:J78">
    <cfRule type="duplicateValues" dxfId="24" priority="1819"/>
    <cfRule type="duplicateValues" dxfId="23" priority="1820"/>
    <cfRule type="duplicateValues" dxfId="22" priority="1821"/>
    <cfRule type="duplicateValues" dxfId="21" priority="1822"/>
    <cfRule type="duplicateValues" dxfId="20" priority="1823"/>
    <cfRule type="duplicateValues" dxfId="19" priority="1824"/>
    <cfRule type="duplicateValues" dxfId="18" priority="1825"/>
    <cfRule type="duplicateValues" dxfId="17" priority="1826"/>
    <cfRule type="duplicateValues" dxfId="16" priority="1827"/>
    <cfRule type="duplicateValues" dxfId="15" priority="1828"/>
  </conditionalFormatting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FF20-F919-41F6-BAC5-DD8A3A1D821D}">
  <dimension ref="A2:J134"/>
  <sheetViews>
    <sheetView workbookViewId="0">
      <selection activeCell="A13" sqref="A13:E13"/>
    </sheetView>
  </sheetViews>
  <sheetFormatPr baseColWidth="10" defaultColWidth="9.140625" defaultRowHeight="15" x14ac:dyDescent="0.25"/>
  <cols>
    <col min="1" max="1" width="24.5703125" customWidth="1"/>
    <col min="2" max="2" width="29.85546875" customWidth="1"/>
    <col min="3" max="3" width="41.28515625" customWidth="1"/>
    <col min="5" max="5" width="27.140625" customWidth="1"/>
    <col min="6" max="6" width="26.7109375" customWidth="1"/>
    <col min="7" max="7" width="25.42578125" customWidth="1"/>
    <col min="8" max="8" width="53.85546875" customWidth="1"/>
    <col min="9" max="9" width="18.7109375" customWidth="1"/>
    <col min="10" max="10" width="18" customWidth="1"/>
  </cols>
  <sheetData>
    <row r="2" spans="1:10" x14ac:dyDescent="0.25">
      <c r="B2" t="s">
        <v>597</v>
      </c>
    </row>
    <row r="3" spans="1:10" x14ac:dyDescent="0.25">
      <c r="B3" t="s">
        <v>79</v>
      </c>
    </row>
    <row r="4" spans="1:10" x14ac:dyDescent="0.25">
      <c r="B4" t="s">
        <v>598</v>
      </c>
      <c r="C4" t="s">
        <v>599</v>
      </c>
    </row>
    <row r="5" spans="1:10" x14ac:dyDescent="0.25">
      <c r="A5" s="11" t="s">
        <v>600</v>
      </c>
      <c r="C5" t="s">
        <v>601</v>
      </c>
      <c r="E5" s="58" t="s">
        <v>602</v>
      </c>
      <c r="F5" t="s">
        <v>603</v>
      </c>
      <c r="G5" t="s">
        <v>604</v>
      </c>
    </row>
    <row r="6" spans="1:10" x14ac:dyDescent="0.25">
      <c r="C6" t="s">
        <v>605</v>
      </c>
      <c r="F6" s="45" t="s">
        <v>606</v>
      </c>
      <c r="G6" s="45" t="s">
        <v>607</v>
      </c>
    </row>
    <row r="7" spans="1:10" x14ac:dyDescent="0.25">
      <c r="B7" s="55" t="s">
        <v>608</v>
      </c>
      <c r="C7" s="55" t="s">
        <v>609</v>
      </c>
      <c r="I7" t="s">
        <v>610</v>
      </c>
    </row>
    <row r="8" spans="1:10" x14ac:dyDescent="0.25">
      <c r="B8" t="s">
        <v>611</v>
      </c>
      <c r="E8" t="s">
        <v>425</v>
      </c>
      <c r="I8" s="36" t="s">
        <v>612</v>
      </c>
      <c r="J8" s="54" t="s">
        <v>613</v>
      </c>
    </row>
    <row r="9" spans="1:10" x14ac:dyDescent="0.25">
      <c r="I9" s="36" t="s">
        <v>614</v>
      </c>
      <c r="J9" t="s">
        <v>615</v>
      </c>
    </row>
    <row r="10" spans="1:10" x14ac:dyDescent="0.25">
      <c r="I10" t="s">
        <v>616</v>
      </c>
      <c r="J10" s="36" t="s">
        <v>617</v>
      </c>
    </row>
    <row r="11" spans="1:10" x14ac:dyDescent="0.25">
      <c r="A11" s="58" t="s">
        <v>618</v>
      </c>
      <c r="B11" s="58" t="s">
        <v>512</v>
      </c>
      <c r="C11" s="58" t="s">
        <v>619</v>
      </c>
      <c r="D11" s="58" t="s">
        <v>620</v>
      </c>
      <c r="E11" s="58" t="s">
        <v>294</v>
      </c>
      <c r="F11" s="58" t="s">
        <v>621</v>
      </c>
      <c r="I11" s="36" t="s">
        <v>622</v>
      </c>
      <c r="J11" t="s">
        <v>615</v>
      </c>
    </row>
    <row r="12" spans="1:10" x14ac:dyDescent="0.25">
      <c r="A12" s="55" t="s">
        <v>623</v>
      </c>
      <c r="B12" s="55" t="s">
        <v>256</v>
      </c>
      <c r="C12" s="55"/>
      <c r="D12" s="55" t="s">
        <v>351</v>
      </c>
      <c r="E12" s="55" t="s">
        <v>624</v>
      </c>
      <c r="F12" s="55"/>
      <c r="G12" s="55"/>
      <c r="I12" s="36" t="s">
        <v>625</v>
      </c>
      <c r="J12" t="s">
        <v>615</v>
      </c>
    </row>
    <row r="13" spans="1:10" x14ac:dyDescent="0.25">
      <c r="A13" s="55" t="s">
        <v>127</v>
      </c>
      <c r="B13" s="55" t="s">
        <v>626</v>
      </c>
      <c r="C13" s="55"/>
      <c r="D13" s="56" t="s">
        <v>380</v>
      </c>
      <c r="E13" t="s">
        <v>627</v>
      </c>
      <c r="F13" s="55"/>
      <c r="G13" s="55"/>
      <c r="I13" s="36" t="s">
        <v>628</v>
      </c>
      <c r="J13" t="s">
        <v>615</v>
      </c>
    </row>
    <row r="14" spans="1:10" x14ac:dyDescent="0.25">
      <c r="A14" t="s">
        <v>228</v>
      </c>
      <c r="B14" s="55" t="s">
        <v>626</v>
      </c>
      <c r="C14" s="54" t="s">
        <v>629</v>
      </c>
    </row>
    <row r="15" spans="1:10" x14ac:dyDescent="0.25">
      <c r="A15" t="s">
        <v>79</v>
      </c>
      <c r="B15" s="55" t="s">
        <v>626</v>
      </c>
      <c r="C15" s="54" t="s">
        <v>630</v>
      </c>
    </row>
    <row r="16" spans="1:10" x14ac:dyDescent="0.25">
      <c r="A16" s="50" t="s">
        <v>91</v>
      </c>
      <c r="B16" s="55" t="s">
        <v>626</v>
      </c>
      <c r="D16" t="s">
        <v>403</v>
      </c>
      <c r="E16" t="s">
        <v>631</v>
      </c>
    </row>
    <row r="17" spans="1:10" x14ac:dyDescent="0.25">
      <c r="A17" s="50" t="s">
        <v>49</v>
      </c>
      <c r="B17" t="s">
        <v>632</v>
      </c>
      <c r="D17" s="50" t="s">
        <v>48</v>
      </c>
      <c r="E17" t="s">
        <v>633</v>
      </c>
    </row>
    <row r="18" spans="1:10" x14ac:dyDescent="0.25">
      <c r="A18" s="50" t="s">
        <v>41</v>
      </c>
      <c r="B18" t="s">
        <v>632</v>
      </c>
      <c r="D18" s="50" t="s">
        <v>364</v>
      </c>
      <c r="E18" t="s">
        <v>634</v>
      </c>
      <c r="I18" t="s">
        <v>635</v>
      </c>
      <c r="J18" t="s">
        <v>636</v>
      </c>
    </row>
    <row r="19" spans="1:10" x14ac:dyDescent="0.25">
      <c r="A19" s="50" t="s">
        <v>46</v>
      </c>
      <c r="B19" t="s">
        <v>632</v>
      </c>
      <c r="D19" s="50" t="s">
        <v>366</v>
      </c>
      <c r="E19" t="s">
        <v>637</v>
      </c>
    </row>
    <row r="20" spans="1:10" x14ac:dyDescent="0.25">
      <c r="A20" t="s">
        <v>638</v>
      </c>
      <c r="B20" t="s">
        <v>639</v>
      </c>
      <c r="D20" t="s">
        <v>422</v>
      </c>
      <c r="E20" t="s">
        <v>640</v>
      </c>
    </row>
    <row r="21" spans="1:10" x14ac:dyDescent="0.25">
      <c r="A21" t="s">
        <v>384</v>
      </c>
      <c r="B21" t="s">
        <v>641</v>
      </c>
      <c r="D21" t="s">
        <v>383</v>
      </c>
      <c r="E21" t="s">
        <v>642</v>
      </c>
    </row>
    <row r="22" spans="1:10" x14ac:dyDescent="0.25">
      <c r="A22" t="s">
        <v>643</v>
      </c>
      <c r="B22" t="s">
        <v>644</v>
      </c>
      <c r="D22" t="s">
        <v>381</v>
      </c>
      <c r="E22" t="s">
        <v>645</v>
      </c>
      <c r="I22" t="s">
        <v>646</v>
      </c>
    </row>
    <row r="23" spans="1:10" x14ac:dyDescent="0.25">
      <c r="A23" s="55" t="s">
        <v>628</v>
      </c>
      <c r="B23" s="55" t="s">
        <v>647</v>
      </c>
      <c r="C23" s="56" t="s">
        <v>630</v>
      </c>
      <c r="D23" s="55"/>
      <c r="E23" s="55"/>
      <c r="F23" s="55"/>
      <c r="G23" s="55"/>
      <c r="I23" t="s">
        <v>560</v>
      </c>
    </row>
    <row r="24" spans="1:10" x14ac:dyDescent="0.25">
      <c r="A24" s="55" t="s">
        <v>560</v>
      </c>
      <c r="B24" s="55" t="s">
        <v>647</v>
      </c>
      <c r="C24" s="56" t="s">
        <v>630</v>
      </c>
      <c r="D24" s="55"/>
      <c r="E24" s="55"/>
      <c r="F24" s="55"/>
      <c r="G24" s="55"/>
      <c r="I24" t="s">
        <v>156</v>
      </c>
      <c r="J24" t="s">
        <v>648</v>
      </c>
    </row>
    <row r="25" spans="1:10" x14ac:dyDescent="0.25">
      <c r="A25" t="s">
        <v>649</v>
      </c>
      <c r="B25" t="s">
        <v>647</v>
      </c>
      <c r="D25" t="s">
        <v>392</v>
      </c>
      <c r="E25" t="s">
        <v>650</v>
      </c>
      <c r="I25" t="s">
        <v>140</v>
      </c>
      <c r="J25" t="s">
        <v>648</v>
      </c>
    </row>
    <row r="26" spans="1:10" x14ac:dyDescent="0.25">
      <c r="A26" t="s">
        <v>487</v>
      </c>
      <c r="B26" t="s">
        <v>647</v>
      </c>
      <c r="D26" t="s">
        <v>486</v>
      </c>
      <c r="E26" t="s">
        <v>651</v>
      </c>
      <c r="I26" t="s">
        <v>652</v>
      </c>
      <c r="J26" t="s">
        <v>653</v>
      </c>
    </row>
    <row r="27" spans="1:10" x14ac:dyDescent="0.25">
      <c r="A27" t="s">
        <v>484</v>
      </c>
      <c r="B27" t="s">
        <v>647</v>
      </c>
      <c r="D27" t="s">
        <v>483</v>
      </c>
      <c r="E27" t="s">
        <v>654</v>
      </c>
      <c r="I27" t="s">
        <v>156</v>
      </c>
      <c r="J27" t="s">
        <v>653</v>
      </c>
    </row>
    <row r="28" spans="1:10" x14ac:dyDescent="0.25">
      <c r="A28" t="s">
        <v>492</v>
      </c>
      <c r="B28" t="s">
        <v>655</v>
      </c>
      <c r="D28" t="s">
        <v>491</v>
      </c>
      <c r="E28" t="s">
        <v>656</v>
      </c>
      <c r="I28" t="s">
        <v>140</v>
      </c>
      <c r="J28" t="s">
        <v>653</v>
      </c>
    </row>
    <row r="29" spans="1:10" x14ac:dyDescent="0.25">
      <c r="A29" t="s">
        <v>475</v>
      </c>
      <c r="B29" t="s">
        <v>655</v>
      </c>
      <c r="D29" t="s">
        <v>584</v>
      </c>
      <c r="E29" t="s">
        <v>657</v>
      </c>
    </row>
    <row r="30" spans="1:10" x14ac:dyDescent="0.25">
      <c r="A30" t="s">
        <v>479</v>
      </c>
      <c r="B30" t="s">
        <v>655</v>
      </c>
      <c r="D30" t="s">
        <v>478</v>
      </c>
      <c r="E30" t="s">
        <v>658</v>
      </c>
    </row>
    <row r="31" spans="1:10" x14ac:dyDescent="0.25">
      <c r="A31" s="54" t="s">
        <v>58</v>
      </c>
      <c r="B31" t="s">
        <v>659</v>
      </c>
      <c r="C31" s="36" t="s">
        <v>660</v>
      </c>
    </row>
    <row r="32" spans="1:10" x14ac:dyDescent="0.25">
      <c r="A32" s="55" t="s">
        <v>61</v>
      </c>
      <c r="B32" s="55" t="s">
        <v>659</v>
      </c>
      <c r="C32" s="55"/>
      <c r="D32" s="55" t="s">
        <v>424</v>
      </c>
      <c r="E32" s="55" t="s">
        <v>661</v>
      </c>
      <c r="F32" s="56" t="s">
        <v>662</v>
      </c>
      <c r="G32" s="56"/>
    </row>
    <row r="33" spans="1:7" x14ac:dyDescent="0.25">
      <c r="A33" s="55" t="s">
        <v>291</v>
      </c>
      <c r="B33" s="55" t="s">
        <v>659</v>
      </c>
      <c r="C33" s="36" t="s">
        <v>660</v>
      </c>
      <c r="D33" s="55"/>
      <c r="E33" s="55"/>
      <c r="F33" s="55"/>
      <c r="G33" s="55"/>
    </row>
    <row r="34" spans="1:7" x14ac:dyDescent="0.25">
      <c r="A34" t="s">
        <v>635</v>
      </c>
      <c r="B34" t="s">
        <v>659</v>
      </c>
      <c r="C34" s="54" t="s">
        <v>630</v>
      </c>
      <c r="E34" t="s">
        <v>636</v>
      </c>
    </row>
    <row r="35" spans="1:7" x14ac:dyDescent="0.25">
      <c r="A35" s="55" t="s">
        <v>207</v>
      </c>
      <c r="B35" s="55" t="s">
        <v>663</v>
      </c>
      <c r="C35" s="55"/>
      <c r="D35" s="55" t="s">
        <v>416</v>
      </c>
      <c r="E35" s="55" t="s">
        <v>664</v>
      </c>
      <c r="F35" s="55"/>
      <c r="G35" s="55"/>
    </row>
    <row r="36" spans="1:7" x14ac:dyDescent="0.25">
      <c r="A36" t="s">
        <v>394</v>
      </c>
      <c r="B36" s="55" t="s">
        <v>663</v>
      </c>
      <c r="D36" t="s">
        <v>393</v>
      </c>
      <c r="E36" t="s">
        <v>665</v>
      </c>
    </row>
    <row r="37" spans="1:7" x14ac:dyDescent="0.25">
      <c r="A37" t="s">
        <v>264</v>
      </c>
      <c r="B37" t="s">
        <v>666</v>
      </c>
      <c r="D37" t="s">
        <v>437</v>
      </c>
      <c r="E37" t="s">
        <v>667</v>
      </c>
    </row>
    <row r="38" spans="1:7" x14ac:dyDescent="0.25">
      <c r="A38" t="s">
        <v>244</v>
      </c>
      <c r="B38" t="s">
        <v>666</v>
      </c>
      <c r="D38" t="s">
        <v>420</v>
      </c>
      <c r="E38" t="s">
        <v>668</v>
      </c>
    </row>
    <row r="39" spans="1:7" x14ac:dyDescent="0.25">
      <c r="A39" s="55" t="s">
        <v>235</v>
      </c>
      <c r="B39" t="s">
        <v>666</v>
      </c>
      <c r="C39" s="55"/>
      <c r="D39" s="55" t="s">
        <v>386</v>
      </c>
      <c r="E39" s="55" t="s">
        <v>669</v>
      </c>
      <c r="F39" s="55"/>
      <c r="G39" s="55"/>
    </row>
    <row r="40" spans="1:7" x14ac:dyDescent="0.25">
      <c r="A40" s="55" t="s">
        <v>260</v>
      </c>
      <c r="B40" s="55" t="s">
        <v>666</v>
      </c>
      <c r="C40" s="55"/>
      <c r="D40" s="55" t="s">
        <v>373</v>
      </c>
      <c r="E40" s="55" t="s">
        <v>670</v>
      </c>
      <c r="F40" s="55"/>
      <c r="G40" s="55"/>
    </row>
    <row r="41" spans="1:7" x14ac:dyDescent="0.25">
      <c r="A41" s="55" t="s">
        <v>69</v>
      </c>
      <c r="B41" s="55" t="s">
        <v>666</v>
      </c>
      <c r="C41" s="55"/>
      <c r="D41" s="55" t="s">
        <v>471</v>
      </c>
      <c r="E41" s="56"/>
      <c r="F41" s="55"/>
      <c r="G41" s="55"/>
    </row>
    <row r="42" spans="1:7" x14ac:dyDescent="0.25">
      <c r="A42" t="s">
        <v>199</v>
      </c>
      <c r="B42" t="s">
        <v>666</v>
      </c>
      <c r="D42" t="s">
        <v>413</v>
      </c>
      <c r="E42" s="36" t="s">
        <v>671</v>
      </c>
    </row>
    <row r="43" spans="1:7" x14ac:dyDescent="0.25">
      <c r="A43" t="s">
        <v>137</v>
      </c>
      <c r="B43" t="s">
        <v>666</v>
      </c>
      <c r="D43" t="s">
        <v>453</v>
      </c>
      <c r="E43" s="54"/>
    </row>
    <row r="44" spans="1:7" x14ac:dyDescent="0.25">
      <c r="A44" t="s">
        <v>103</v>
      </c>
      <c r="B44" t="s">
        <v>672</v>
      </c>
      <c r="D44" t="s">
        <v>489</v>
      </c>
      <c r="E44" t="s">
        <v>673</v>
      </c>
    </row>
    <row r="45" spans="1:7" x14ac:dyDescent="0.25">
      <c r="A45" t="s">
        <v>52</v>
      </c>
      <c r="B45" t="s">
        <v>672</v>
      </c>
      <c r="D45" t="s">
        <v>388</v>
      </c>
      <c r="E45" t="s">
        <v>674</v>
      </c>
    </row>
    <row r="46" spans="1:7" x14ac:dyDescent="0.25">
      <c r="A46" s="55" t="s">
        <v>675</v>
      </c>
      <c r="B46" s="55" t="s">
        <v>676</v>
      </c>
      <c r="C46" s="56" t="s">
        <v>677</v>
      </c>
      <c r="D46" s="55"/>
      <c r="E46" s="55"/>
      <c r="F46" s="55"/>
      <c r="G46" s="55"/>
    </row>
    <row r="47" spans="1:7" x14ac:dyDescent="0.25">
      <c r="A47" t="s">
        <v>678</v>
      </c>
      <c r="B47" t="s">
        <v>676</v>
      </c>
      <c r="C47" s="54" t="s">
        <v>679</v>
      </c>
    </row>
    <row r="48" spans="1:7" x14ac:dyDescent="0.25">
      <c r="A48" t="s">
        <v>680</v>
      </c>
      <c r="B48" t="s">
        <v>676</v>
      </c>
      <c r="D48" t="s">
        <v>227</v>
      </c>
      <c r="E48" t="s">
        <v>681</v>
      </c>
    </row>
    <row r="49" spans="1:7" x14ac:dyDescent="0.25">
      <c r="A49" t="s">
        <v>593</v>
      </c>
      <c r="B49" t="s">
        <v>682</v>
      </c>
      <c r="D49" t="s">
        <v>592</v>
      </c>
      <c r="E49" t="s">
        <v>488</v>
      </c>
    </row>
    <row r="50" spans="1:7" x14ac:dyDescent="0.25">
      <c r="A50" t="s">
        <v>495</v>
      </c>
      <c r="B50" t="s">
        <v>683</v>
      </c>
      <c r="D50" t="s">
        <v>494</v>
      </c>
      <c r="E50" t="s">
        <v>684</v>
      </c>
    </row>
    <row r="51" spans="1:7" x14ac:dyDescent="0.25">
      <c r="A51" s="50" t="s">
        <v>409</v>
      </c>
      <c r="B51" t="s">
        <v>683</v>
      </c>
      <c r="D51" t="s">
        <v>408</v>
      </c>
      <c r="E51" t="s">
        <v>685</v>
      </c>
    </row>
    <row r="52" spans="1:7" x14ac:dyDescent="0.25">
      <c r="A52" t="s">
        <v>358</v>
      </c>
      <c r="B52" t="s">
        <v>686</v>
      </c>
      <c r="D52" t="s">
        <v>357</v>
      </c>
      <c r="E52" t="s">
        <v>687</v>
      </c>
    </row>
    <row r="53" spans="1:7" x14ac:dyDescent="0.25">
      <c r="A53" s="55" t="s">
        <v>356</v>
      </c>
      <c r="B53" s="55" t="s">
        <v>686</v>
      </c>
      <c r="C53" s="55"/>
      <c r="D53" s="55" t="s">
        <v>355</v>
      </c>
      <c r="E53" s="55" t="s">
        <v>688</v>
      </c>
      <c r="F53" s="55"/>
      <c r="G53" s="55"/>
    </row>
    <row r="54" spans="1:7" x14ac:dyDescent="0.25">
      <c r="A54" s="55" t="s">
        <v>19</v>
      </c>
      <c r="B54" s="55" t="s">
        <v>686</v>
      </c>
      <c r="C54" s="55"/>
      <c r="D54" s="55" t="s">
        <v>318</v>
      </c>
      <c r="E54" s="55" t="s">
        <v>689</v>
      </c>
      <c r="F54" s="55"/>
      <c r="G54" s="55"/>
    </row>
    <row r="55" spans="1:7" x14ac:dyDescent="0.25">
      <c r="A55" s="55" t="s">
        <v>347</v>
      </c>
      <c r="B55" s="55" t="s">
        <v>686</v>
      </c>
      <c r="C55" s="55"/>
      <c r="D55" s="55" t="s">
        <v>346</v>
      </c>
      <c r="E55" s="55" t="s">
        <v>690</v>
      </c>
      <c r="F55" s="55"/>
      <c r="G55" s="55"/>
    </row>
    <row r="56" spans="1:7" x14ac:dyDescent="0.25">
      <c r="A56" s="55" t="s">
        <v>315</v>
      </c>
      <c r="B56" s="55" t="s">
        <v>686</v>
      </c>
      <c r="C56" s="55"/>
      <c r="D56" s="55" t="s">
        <v>314</v>
      </c>
      <c r="E56" s="55" t="s">
        <v>691</v>
      </c>
      <c r="F56" s="55"/>
      <c r="G56" s="55"/>
    </row>
    <row r="57" spans="1:7" x14ac:dyDescent="0.25">
      <c r="A57" s="55" t="s">
        <v>330</v>
      </c>
      <c r="B57" s="55" t="s">
        <v>686</v>
      </c>
      <c r="C57" s="55"/>
      <c r="D57" s="55" t="s">
        <v>329</v>
      </c>
      <c r="E57" s="55" t="s">
        <v>692</v>
      </c>
      <c r="F57" s="55"/>
      <c r="G57" s="55"/>
    </row>
    <row r="58" spans="1:7" x14ac:dyDescent="0.25">
      <c r="A58" s="55" t="s">
        <v>361</v>
      </c>
      <c r="B58" s="55" t="s">
        <v>686</v>
      </c>
      <c r="C58" s="55"/>
      <c r="D58" s="55" t="s">
        <v>360</v>
      </c>
      <c r="E58" s="55" t="s">
        <v>693</v>
      </c>
      <c r="F58" s="55"/>
      <c r="G58" s="55"/>
    </row>
    <row r="59" spans="1:7" x14ac:dyDescent="0.25">
      <c r="A59" s="55" t="s">
        <v>213</v>
      </c>
      <c r="B59" s="55" t="s">
        <v>686</v>
      </c>
      <c r="C59" s="55"/>
      <c r="D59" s="55" t="s">
        <v>212</v>
      </c>
      <c r="E59" s="55" t="s">
        <v>694</v>
      </c>
      <c r="F59" s="55"/>
      <c r="G59" s="55"/>
    </row>
    <row r="60" spans="1:7" x14ac:dyDescent="0.25">
      <c r="A60" t="s">
        <v>23</v>
      </c>
      <c r="B60" t="s">
        <v>686</v>
      </c>
      <c r="D60" t="s">
        <v>310</v>
      </c>
      <c r="E60" t="s">
        <v>695</v>
      </c>
    </row>
    <row r="61" spans="1:7" x14ac:dyDescent="0.25">
      <c r="A61" t="s">
        <v>28</v>
      </c>
      <c r="B61" t="s">
        <v>686</v>
      </c>
      <c r="D61" t="s">
        <v>335</v>
      </c>
      <c r="E61" t="s">
        <v>696</v>
      </c>
    </row>
    <row r="62" spans="1:7" x14ac:dyDescent="0.25">
      <c r="A62" t="s">
        <v>322</v>
      </c>
      <c r="B62" t="s">
        <v>686</v>
      </c>
      <c r="D62" t="s">
        <v>321</v>
      </c>
      <c r="E62" t="s">
        <v>697</v>
      </c>
    </row>
    <row r="63" spans="1:7" x14ac:dyDescent="0.25">
      <c r="A63" t="s">
        <v>8</v>
      </c>
      <c r="B63" t="s">
        <v>686</v>
      </c>
      <c r="D63" t="s">
        <v>325</v>
      </c>
      <c r="E63" t="s">
        <v>698</v>
      </c>
    </row>
    <row r="64" spans="1:7" x14ac:dyDescent="0.25">
      <c r="A64" t="s">
        <v>341</v>
      </c>
      <c r="B64" t="s">
        <v>686</v>
      </c>
      <c r="D64" t="s">
        <v>340</v>
      </c>
      <c r="E64" t="s">
        <v>699</v>
      </c>
    </row>
    <row r="65" spans="1:7" x14ac:dyDescent="0.25">
      <c r="A65" t="s">
        <v>38</v>
      </c>
      <c r="B65" t="s">
        <v>686</v>
      </c>
      <c r="D65" t="s">
        <v>351</v>
      </c>
      <c r="E65" t="s">
        <v>700</v>
      </c>
    </row>
    <row r="66" spans="1:7" x14ac:dyDescent="0.25">
      <c r="A66" t="s">
        <v>187</v>
      </c>
      <c r="B66" t="s">
        <v>701</v>
      </c>
      <c r="D66" t="s">
        <v>443</v>
      </c>
      <c r="E66" t="s">
        <v>702</v>
      </c>
    </row>
    <row r="67" spans="1:7" x14ac:dyDescent="0.25">
      <c r="A67" t="s">
        <v>460</v>
      </c>
      <c r="B67" t="s">
        <v>701</v>
      </c>
      <c r="D67" t="s">
        <v>459</v>
      </c>
      <c r="E67" t="s">
        <v>703</v>
      </c>
    </row>
    <row r="68" spans="1:7" x14ac:dyDescent="0.25">
      <c r="A68" t="s">
        <v>377</v>
      </c>
      <c r="B68" t="s">
        <v>701</v>
      </c>
      <c r="D68" t="s">
        <v>376</v>
      </c>
      <c r="E68" t="s">
        <v>704</v>
      </c>
    </row>
    <row r="69" spans="1:7" x14ac:dyDescent="0.25">
      <c r="A69" s="55" t="s">
        <v>124</v>
      </c>
      <c r="B69" s="55" t="s">
        <v>701</v>
      </c>
      <c r="C69" s="55"/>
      <c r="D69" s="55" t="s">
        <v>432</v>
      </c>
      <c r="E69" s="55" t="s">
        <v>705</v>
      </c>
      <c r="F69" s="55"/>
      <c r="G69" s="55"/>
    </row>
    <row r="70" spans="1:7" x14ac:dyDescent="0.25">
      <c r="A70" s="55" t="s">
        <v>706</v>
      </c>
      <c r="B70" s="55" t="s">
        <v>701</v>
      </c>
      <c r="C70" s="55"/>
      <c r="D70" s="55" t="s">
        <v>455</v>
      </c>
      <c r="E70" s="55" t="s">
        <v>707</v>
      </c>
      <c r="F70" s="55"/>
      <c r="G70" s="55"/>
    </row>
    <row r="71" spans="1:7" x14ac:dyDescent="0.25">
      <c r="A71" s="55" t="s">
        <v>451</v>
      </c>
      <c r="B71" s="55" t="s">
        <v>701</v>
      </c>
      <c r="C71" s="55"/>
      <c r="D71" s="55" t="s">
        <v>450</v>
      </c>
      <c r="E71" s="55" t="s">
        <v>708</v>
      </c>
      <c r="F71" s="55"/>
      <c r="G71" s="55"/>
    </row>
    <row r="72" spans="1:7" x14ac:dyDescent="0.25">
      <c r="A72" s="55" t="s">
        <v>219</v>
      </c>
      <c r="B72" s="55" t="s">
        <v>701</v>
      </c>
      <c r="C72" s="55"/>
      <c r="D72" s="55" t="s">
        <v>445</v>
      </c>
      <c r="E72" s="55" t="s">
        <v>709</v>
      </c>
      <c r="F72" s="55"/>
      <c r="G72" s="55"/>
    </row>
    <row r="73" spans="1:7" x14ac:dyDescent="0.25">
      <c r="A73" s="55" t="s">
        <v>121</v>
      </c>
      <c r="B73" s="55" t="s">
        <v>701</v>
      </c>
      <c r="C73" s="55"/>
      <c r="D73" s="55" t="s">
        <v>463</v>
      </c>
      <c r="E73" s="55" t="s">
        <v>710</v>
      </c>
      <c r="F73" s="55"/>
      <c r="G73" s="55"/>
    </row>
    <row r="74" spans="1:7" x14ac:dyDescent="0.25">
      <c r="A74" s="55" t="s">
        <v>225</v>
      </c>
      <c r="B74" s="55" t="s">
        <v>701</v>
      </c>
      <c r="C74" s="55"/>
      <c r="D74" s="55" t="s">
        <v>224</v>
      </c>
      <c r="E74" s="55" t="s">
        <v>711</v>
      </c>
      <c r="F74" s="55"/>
      <c r="G74" s="55"/>
    </row>
    <row r="75" spans="1:7" x14ac:dyDescent="0.25">
      <c r="A75" s="55" t="s">
        <v>222</v>
      </c>
      <c r="B75" s="55" t="s">
        <v>701</v>
      </c>
      <c r="C75" s="55"/>
      <c r="D75" s="55" t="s">
        <v>221</v>
      </c>
      <c r="E75" s="55" t="s">
        <v>712</v>
      </c>
      <c r="F75" s="55"/>
      <c r="G75" s="55"/>
    </row>
    <row r="76" spans="1:7" x14ac:dyDescent="0.25">
      <c r="A76" s="55" t="s">
        <v>469</v>
      </c>
      <c r="B76" s="55" t="s">
        <v>701</v>
      </c>
      <c r="C76" s="55"/>
      <c r="D76" s="55" t="s">
        <v>468</v>
      </c>
      <c r="E76" s="55" t="s">
        <v>713</v>
      </c>
      <c r="F76" s="55"/>
      <c r="G76" s="55"/>
    </row>
    <row r="77" spans="1:7" x14ac:dyDescent="0.25">
      <c r="A77" s="55" t="s">
        <v>368</v>
      </c>
      <c r="B77" s="55" t="s">
        <v>701</v>
      </c>
      <c r="C77" s="55"/>
      <c r="D77" s="55" t="s">
        <v>99</v>
      </c>
      <c r="E77" s="55" t="s">
        <v>714</v>
      </c>
      <c r="F77" s="55"/>
      <c r="G77" s="55"/>
    </row>
    <row r="78" spans="1:7" x14ac:dyDescent="0.25">
      <c r="A78" s="55" t="s">
        <v>401</v>
      </c>
      <c r="B78" s="55" t="s">
        <v>701</v>
      </c>
      <c r="C78" s="55"/>
      <c r="D78" s="55" t="s">
        <v>400</v>
      </c>
      <c r="E78" s="55" t="s">
        <v>715</v>
      </c>
      <c r="F78" s="55"/>
      <c r="G78" s="55"/>
    </row>
    <row r="79" spans="1:7" x14ac:dyDescent="0.25">
      <c r="A79" s="55" t="s">
        <v>438</v>
      </c>
      <c r="B79" s="55" t="s">
        <v>701</v>
      </c>
      <c r="C79" s="56" t="s">
        <v>629</v>
      </c>
      <c r="D79" s="55"/>
      <c r="E79" s="55"/>
      <c r="F79" s="55"/>
      <c r="G79" s="55"/>
    </row>
    <row r="80" spans="1:7" x14ac:dyDescent="0.25">
      <c r="A80" s="55" t="s">
        <v>414</v>
      </c>
      <c r="B80" s="55" t="s">
        <v>701</v>
      </c>
      <c r="C80" s="55"/>
      <c r="D80" s="55"/>
      <c r="E80" s="55" t="s">
        <v>413</v>
      </c>
      <c r="F80" s="55"/>
      <c r="G80" s="55"/>
    </row>
    <row r="81" spans="1:7" x14ac:dyDescent="0.25">
      <c r="A81" s="55" t="s">
        <v>64</v>
      </c>
      <c r="B81" s="55" t="s">
        <v>701</v>
      </c>
      <c r="C81" s="55"/>
      <c r="D81" s="55" t="s">
        <v>465</v>
      </c>
      <c r="E81" s="55" t="s">
        <v>716</v>
      </c>
      <c r="F81" s="55"/>
      <c r="G81" s="55"/>
    </row>
    <row r="82" spans="1:7" x14ac:dyDescent="0.25">
      <c r="A82" s="55" t="s">
        <v>72</v>
      </c>
      <c r="B82" s="55" t="s">
        <v>701</v>
      </c>
      <c r="C82" s="55"/>
      <c r="D82" s="55" t="s">
        <v>435</v>
      </c>
      <c r="E82" s="55" t="s">
        <v>717</v>
      </c>
      <c r="F82" s="55"/>
      <c r="G82" s="55"/>
    </row>
    <row r="83" spans="1:7" x14ac:dyDescent="0.25">
      <c r="A83" s="55" t="s">
        <v>112</v>
      </c>
      <c r="B83" s="55" t="s">
        <v>701</v>
      </c>
      <c r="C83" s="55"/>
      <c r="D83" s="55" t="s">
        <v>398</v>
      </c>
      <c r="E83" s="55" t="s">
        <v>718</v>
      </c>
      <c r="F83" s="55"/>
      <c r="G83" s="55"/>
    </row>
    <row r="84" spans="1:7" x14ac:dyDescent="0.25">
      <c r="A84" s="55" t="s">
        <v>441</v>
      </c>
      <c r="B84" s="55" t="s">
        <v>701</v>
      </c>
      <c r="C84" s="55"/>
      <c r="D84" s="55" t="s">
        <v>440</v>
      </c>
      <c r="E84" s="51" t="s">
        <v>442</v>
      </c>
      <c r="F84" s="55"/>
      <c r="G84" s="55"/>
    </row>
    <row r="85" spans="1:7" x14ac:dyDescent="0.25">
      <c r="A85" t="s">
        <v>115</v>
      </c>
      <c r="B85" t="s">
        <v>701</v>
      </c>
      <c r="D85" t="s">
        <v>218</v>
      </c>
      <c r="E85" t="s">
        <v>719</v>
      </c>
    </row>
    <row r="86" spans="1:7" x14ac:dyDescent="0.25">
      <c r="A86" t="s">
        <v>397</v>
      </c>
      <c r="B86" t="s">
        <v>701</v>
      </c>
      <c r="D86" t="s">
        <v>396</v>
      </c>
      <c r="E86" t="s">
        <v>720</v>
      </c>
    </row>
    <row r="87" spans="1:7" x14ac:dyDescent="0.25">
      <c r="A87" t="s">
        <v>411</v>
      </c>
      <c r="B87" t="s">
        <v>701</v>
      </c>
      <c r="C87" s="54" t="s">
        <v>630</v>
      </c>
    </row>
    <row r="88" spans="1:7" x14ac:dyDescent="0.25">
      <c r="A88" t="s">
        <v>515</v>
      </c>
      <c r="B88" t="s">
        <v>701</v>
      </c>
      <c r="C88" s="54" t="s">
        <v>630</v>
      </c>
      <c r="D88" t="s">
        <v>36</v>
      </c>
      <c r="E88" t="s">
        <v>721</v>
      </c>
    </row>
    <row r="89" spans="1:7" x14ac:dyDescent="0.25">
      <c r="A89" t="s">
        <v>88</v>
      </c>
      <c r="B89" t="s">
        <v>701</v>
      </c>
      <c r="D89" t="s">
        <v>370</v>
      </c>
      <c r="E89" t="s">
        <v>722</v>
      </c>
    </row>
    <row r="90" spans="1:7" x14ac:dyDescent="0.25">
      <c r="A90" t="s">
        <v>605</v>
      </c>
      <c r="B90" t="s">
        <v>701</v>
      </c>
      <c r="C90" s="54" t="s">
        <v>629</v>
      </c>
    </row>
    <row r="91" spans="1:7" x14ac:dyDescent="0.25">
      <c r="A91" t="s">
        <v>190</v>
      </c>
      <c r="B91" t="s">
        <v>701</v>
      </c>
      <c r="D91" t="s">
        <v>215</v>
      </c>
      <c r="E91" t="s">
        <v>723</v>
      </c>
    </row>
    <row r="92" spans="1:7" x14ac:dyDescent="0.25">
      <c r="A92" t="s">
        <v>724</v>
      </c>
      <c r="B92" t="s">
        <v>701</v>
      </c>
      <c r="C92" s="54" t="s">
        <v>629</v>
      </c>
    </row>
    <row r="93" spans="1:7" x14ac:dyDescent="0.25">
      <c r="A93" t="s">
        <v>578</v>
      </c>
      <c r="B93" t="s">
        <v>701</v>
      </c>
      <c r="D93" t="s">
        <v>447</v>
      </c>
      <c r="E93" t="s">
        <v>725</v>
      </c>
    </row>
    <row r="94" spans="1:7" x14ac:dyDescent="0.25">
      <c r="A94" s="50" t="s">
        <v>216</v>
      </c>
      <c r="B94" t="s">
        <v>701</v>
      </c>
      <c r="D94" t="s">
        <v>406</v>
      </c>
      <c r="E94" t="s">
        <v>726</v>
      </c>
    </row>
    <row r="95" spans="1:7" x14ac:dyDescent="0.25">
      <c r="A95" t="s">
        <v>82</v>
      </c>
      <c r="B95" t="s">
        <v>701</v>
      </c>
      <c r="D95" t="s">
        <v>390</v>
      </c>
      <c r="E95" t="s">
        <v>727</v>
      </c>
    </row>
    <row r="96" spans="1:7" x14ac:dyDescent="0.25">
      <c r="A96" t="s">
        <v>85</v>
      </c>
      <c r="B96" t="s">
        <v>701</v>
      </c>
      <c r="D96" t="s">
        <v>418</v>
      </c>
      <c r="E96" t="s">
        <v>728</v>
      </c>
    </row>
    <row r="97" spans="1:7" x14ac:dyDescent="0.25">
      <c r="A97" t="s">
        <v>143</v>
      </c>
      <c r="B97" t="s">
        <v>683</v>
      </c>
      <c r="C97" s="64" t="s">
        <v>729</v>
      </c>
      <c r="E97" s="64" t="s">
        <v>729</v>
      </c>
    </row>
    <row r="98" spans="1:7" x14ac:dyDescent="0.25">
      <c r="A98" t="s">
        <v>730</v>
      </c>
      <c r="B98" t="s">
        <v>731</v>
      </c>
      <c r="C98" s="54" t="s">
        <v>732</v>
      </c>
      <c r="F98" s="54" t="s">
        <v>733</v>
      </c>
      <c r="G98" s="54"/>
    </row>
    <row r="99" spans="1:7" x14ac:dyDescent="0.25">
      <c r="A99" s="54" t="s">
        <v>165</v>
      </c>
      <c r="B99" s="54" t="s">
        <v>731</v>
      </c>
      <c r="C99" s="54" t="s">
        <v>732</v>
      </c>
      <c r="E99" s="54" t="s">
        <v>734</v>
      </c>
      <c r="F99" s="54" t="s">
        <v>735</v>
      </c>
      <c r="G99" s="54"/>
    </row>
    <row r="100" spans="1:7" x14ac:dyDescent="0.25">
      <c r="A100" t="s">
        <v>736</v>
      </c>
      <c r="B100" t="s">
        <v>676</v>
      </c>
      <c r="C100" s="54" t="s">
        <v>732</v>
      </c>
      <c r="F100" s="54" t="s">
        <v>737</v>
      </c>
      <c r="G100" s="54"/>
    </row>
    <row r="101" spans="1:7" x14ac:dyDescent="0.25">
      <c r="A101" t="s">
        <v>614</v>
      </c>
      <c r="B101" t="s">
        <v>738</v>
      </c>
      <c r="C101" s="54" t="s">
        <v>732</v>
      </c>
      <c r="D101" s="54"/>
      <c r="E101" s="54" t="s">
        <v>739</v>
      </c>
      <c r="F101" s="54" t="s">
        <v>737</v>
      </c>
      <c r="G101" s="54"/>
    </row>
    <row r="102" spans="1:7" x14ac:dyDescent="0.25">
      <c r="A102" t="s">
        <v>130</v>
      </c>
      <c r="B102" t="s">
        <v>740</v>
      </c>
      <c r="C102" s="54" t="s">
        <v>732</v>
      </c>
      <c r="E102" s="54" t="s">
        <v>741</v>
      </c>
      <c r="F102" s="54"/>
      <c r="G102" s="54"/>
    </row>
    <row r="103" spans="1:7" x14ac:dyDescent="0.25">
      <c r="A103" t="s">
        <v>425</v>
      </c>
      <c r="B103" s="54" t="s">
        <v>663</v>
      </c>
      <c r="C103" s="54" t="s">
        <v>732</v>
      </c>
      <c r="F103" s="54"/>
      <c r="G103" s="54"/>
    </row>
    <row r="104" spans="1:7" x14ac:dyDescent="0.25">
      <c r="A104" t="s">
        <v>147</v>
      </c>
      <c r="B104" t="s">
        <v>742</v>
      </c>
      <c r="C104" s="54" t="s">
        <v>732</v>
      </c>
      <c r="F104" s="54"/>
      <c r="G104" s="54"/>
    </row>
    <row r="105" spans="1:7" x14ac:dyDescent="0.25">
      <c r="A105" s="54" t="s">
        <v>171</v>
      </c>
      <c r="B105" s="54" t="s">
        <v>683</v>
      </c>
      <c r="C105" s="54" t="s">
        <v>732</v>
      </c>
      <c r="E105" s="54" t="s">
        <v>734</v>
      </c>
      <c r="F105" s="54" t="s">
        <v>743</v>
      </c>
      <c r="G105" s="54"/>
    </row>
    <row r="106" spans="1:7" x14ac:dyDescent="0.25">
      <c r="A106" t="s">
        <v>625</v>
      </c>
      <c r="B106" t="s">
        <v>647</v>
      </c>
      <c r="C106" s="54" t="s">
        <v>732</v>
      </c>
      <c r="E106" s="36" t="s">
        <v>744</v>
      </c>
      <c r="F106" s="54"/>
      <c r="G106" s="54"/>
    </row>
    <row r="107" spans="1:7" x14ac:dyDescent="0.25">
      <c r="A107" s="54" t="s">
        <v>162</v>
      </c>
      <c r="B107" s="54" t="s">
        <v>731</v>
      </c>
      <c r="C107" s="54" t="s">
        <v>732</v>
      </c>
      <c r="E107" s="54" t="s">
        <v>734</v>
      </c>
      <c r="F107" s="54"/>
      <c r="G107" s="54"/>
    </row>
    <row r="108" spans="1:7" x14ac:dyDescent="0.25">
      <c r="A108" t="s">
        <v>622</v>
      </c>
      <c r="B108" t="s">
        <v>655</v>
      </c>
      <c r="C108" s="54" t="s">
        <v>732</v>
      </c>
      <c r="F108" s="54"/>
      <c r="G108" s="54"/>
    </row>
    <row r="109" spans="1:7" x14ac:dyDescent="0.25">
      <c r="A109" t="s">
        <v>279</v>
      </c>
      <c r="B109" t="s">
        <v>745</v>
      </c>
      <c r="C109" s="36" t="s">
        <v>660</v>
      </c>
    </row>
    <row r="110" spans="1:7" x14ac:dyDescent="0.25">
      <c r="A110" t="s">
        <v>746</v>
      </c>
      <c r="B110" t="s">
        <v>747</v>
      </c>
      <c r="C110" t="s">
        <v>748</v>
      </c>
    </row>
    <row r="111" spans="1:7" x14ac:dyDescent="0.25">
      <c r="A111" t="s">
        <v>749</v>
      </c>
      <c r="B111" t="s">
        <v>747</v>
      </c>
      <c r="C111" t="s">
        <v>750</v>
      </c>
    </row>
    <row r="134" spans="8:8" x14ac:dyDescent="0.25">
      <c r="H134">
        <v>23</v>
      </c>
    </row>
  </sheetData>
  <autoFilter ref="A11:G111" xr:uid="{3D02FF20-F919-41F6-BAC5-DD8A3A1D821D}">
    <sortState xmlns:xlrd2="http://schemas.microsoft.com/office/spreadsheetml/2017/richdata2" ref="A12:G96">
      <sortCondition descending="1" ref="B11"/>
    </sortState>
  </autoFilter>
  <conditionalFormatting sqref="A12:A108">
    <cfRule type="duplicateValues" dxfId="14" priority="11"/>
  </conditionalFormatting>
  <conditionalFormatting sqref="A57:A59">
    <cfRule type="duplicateValues" dxfId="13" priority="9"/>
  </conditionalFormatting>
  <conditionalFormatting sqref="A60:A64 A12:A56 D12:D56 D60:D65">
    <cfRule type="duplicateValues" dxfId="12" priority="10"/>
  </conditionalFormatting>
  <conditionalFormatting sqref="A85:A87">
    <cfRule type="duplicateValues" dxfId="11" priority="8"/>
  </conditionalFormatting>
  <conditionalFormatting sqref="B8">
    <cfRule type="duplicateValues" dxfId="10" priority="1"/>
    <cfRule type="duplicateValues" dxfId="9" priority="2"/>
  </conditionalFormatting>
  <conditionalFormatting sqref="B7:C7">
    <cfRule type="duplicateValues" dxfId="8" priority="7"/>
  </conditionalFormatting>
  <conditionalFormatting sqref="C5">
    <cfRule type="duplicateValues" dxfId="7" priority="5"/>
  </conditionalFormatting>
  <conditionalFormatting sqref="C5:C6">
    <cfRule type="duplicateValues" dxfId="6" priority="6"/>
  </conditionalFormatting>
  <conditionalFormatting sqref="C6">
    <cfRule type="duplicateValues" dxfId="5" priority="4"/>
  </conditionalFormatting>
  <conditionalFormatting sqref="C8">
    <cfRule type="duplicateValues" dxfId="4" priority="3"/>
  </conditionalFormatting>
  <conditionalFormatting sqref="D12:D111">
    <cfRule type="duplicateValues" dxfId="3" priority="1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857C-F8D4-4533-A485-516DB7517C32}">
  <sheetPr filterMode="1"/>
  <dimension ref="A1:M94"/>
  <sheetViews>
    <sheetView zoomScale="114" zoomScaleNormal="115" workbookViewId="0">
      <pane ySplit="2" topLeftCell="A56" activePane="bottomLeft" state="frozen"/>
      <selection pane="bottomLeft" activeCell="L64" sqref="L64"/>
    </sheetView>
  </sheetViews>
  <sheetFormatPr baseColWidth="10" defaultColWidth="20.7109375" defaultRowHeight="15.75" customHeight="1" x14ac:dyDescent="0.25"/>
  <cols>
    <col min="1" max="1" width="6.7109375" style="96" customWidth="1"/>
    <col min="2" max="2" width="24" style="96" bestFit="1" customWidth="1"/>
    <col min="3" max="3" width="17.5703125" style="96" bestFit="1" customWidth="1"/>
    <col min="4" max="4" width="15.85546875" style="98" customWidth="1"/>
    <col min="5" max="5" width="15.85546875" style="97" customWidth="1"/>
    <col min="6" max="6" width="13.42578125" style="97" customWidth="1"/>
    <col min="7" max="7" width="12.85546875" style="96" customWidth="1"/>
    <col min="8" max="8" width="11.28515625" style="96" customWidth="1"/>
    <col min="9" max="9" width="10.42578125" style="97" bestFit="1" customWidth="1"/>
    <col min="10" max="10" width="35.140625" style="97" bestFit="1" customWidth="1"/>
    <col min="11" max="11" width="16.85546875" style="97" customWidth="1"/>
    <col min="12" max="16384" width="20.7109375" style="96"/>
  </cols>
  <sheetData>
    <row r="1" spans="1:11" ht="15.75" customHeight="1" x14ac:dyDescent="0.25">
      <c r="A1" s="177" t="s">
        <v>751</v>
      </c>
      <c r="B1" s="178"/>
      <c r="C1" s="178"/>
      <c r="D1" s="178"/>
      <c r="E1" s="178"/>
      <c r="F1" s="178"/>
      <c r="G1" s="178"/>
      <c r="H1" s="178"/>
      <c r="I1" s="178"/>
      <c r="J1" s="178"/>
    </row>
    <row r="2" spans="1:11" s="127" customFormat="1" ht="15.75" customHeight="1" x14ac:dyDescent="0.25">
      <c r="A2" s="133" t="s">
        <v>752</v>
      </c>
      <c r="B2" s="129" t="s">
        <v>753</v>
      </c>
      <c r="C2" s="129" t="s">
        <v>754</v>
      </c>
      <c r="D2" s="132" t="s">
        <v>755</v>
      </c>
      <c r="E2" s="129" t="s">
        <v>756</v>
      </c>
      <c r="F2" s="129" t="s">
        <v>757</v>
      </c>
      <c r="G2" s="131" t="s">
        <v>758</v>
      </c>
      <c r="H2" s="130" t="s">
        <v>759</v>
      </c>
      <c r="I2" s="129" t="s">
        <v>760</v>
      </c>
      <c r="J2" s="129" t="s">
        <v>761</v>
      </c>
      <c r="K2" s="128"/>
    </row>
    <row r="3" spans="1:11" ht="15" x14ac:dyDescent="0.2">
      <c r="A3" s="124">
        <v>1</v>
      </c>
      <c r="B3" s="121" t="s">
        <v>762</v>
      </c>
      <c r="C3" s="121" t="s">
        <v>763</v>
      </c>
      <c r="D3" s="123">
        <v>25637</v>
      </c>
      <c r="E3" s="124">
        <f ca="1">ROUNDDOWN(YEARFRAC(D3,TODAY(),3),0)</f>
        <v>56</v>
      </c>
      <c r="F3" s="123">
        <v>38825</v>
      </c>
      <c r="G3" s="122">
        <f t="shared" ref="G3:G33" ca="1" si="0">ROUNDDOWN(YEARFRAC(F3,TODAY(),3),0)</f>
        <v>20</v>
      </c>
      <c r="H3" s="122">
        <v>1</v>
      </c>
      <c r="I3" s="121" t="s">
        <v>306</v>
      </c>
      <c r="J3" s="121" t="s">
        <v>306</v>
      </c>
      <c r="K3" s="104"/>
    </row>
    <row r="4" spans="1:11" ht="15" hidden="1" x14ac:dyDescent="0.2">
      <c r="A4" s="124">
        <v>2</v>
      </c>
      <c r="B4" s="121" t="s">
        <v>764</v>
      </c>
      <c r="C4" s="121" t="s">
        <v>765</v>
      </c>
      <c r="D4" s="123">
        <v>23732</v>
      </c>
      <c r="E4" s="124">
        <f ca="1">ROUNDDOWN(YEARFRAC(D4,TODAY(),3),0)</f>
        <v>61</v>
      </c>
      <c r="F4" s="123">
        <v>45719</v>
      </c>
      <c r="G4" s="122">
        <f t="shared" ca="1" si="0"/>
        <v>1</v>
      </c>
      <c r="H4" s="122">
        <v>1</v>
      </c>
      <c r="I4" s="121"/>
      <c r="J4" s="121"/>
      <c r="K4" s="104"/>
    </row>
    <row r="5" spans="1:11" ht="15" x14ac:dyDescent="0.2">
      <c r="A5" s="124">
        <v>3</v>
      </c>
      <c r="B5" s="121" t="s">
        <v>766</v>
      </c>
      <c r="C5" s="121" t="s">
        <v>767</v>
      </c>
      <c r="D5" s="123">
        <v>28046</v>
      </c>
      <c r="E5" s="124">
        <f ca="1">ROUNDDOWN(YEARFRAC(D5,TODAY(),3),0)</f>
        <v>49</v>
      </c>
      <c r="F5" s="123">
        <v>46037</v>
      </c>
      <c r="G5" s="122">
        <f t="shared" ca="1" si="0"/>
        <v>0</v>
      </c>
      <c r="H5" s="122">
        <v>1</v>
      </c>
      <c r="I5" s="121"/>
      <c r="J5" s="121"/>
      <c r="K5" s="104"/>
    </row>
    <row r="6" spans="1:11" ht="15" hidden="1" x14ac:dyDescent="0.2">
      <c r="A6" s="124">
        <v>4</v>
      </c>
      <c r="B6" s="121" t="s">
        <v>768</v>
      </c>
      <c r="C6" s="121" t="s">
        <v>769</v>
      </c>
      <c r="D6" s="123">
        <v>25668</v>
      </c>
      <c r="E6" s="124">
        <f t="shared" ref="E6:E36" ca="1" si="1">ROUNDDOWN(YEARFRAC(D6,TODAY(),3),0)</f>
        <v>56</v>
      </c>
      <c r="F6" s="123">
        <v>45691</v>
      </c>
      <c r="G6" s="122">
        <f t="shared" ca="1" si="0"/>
        <v>1</v>
      </c>
      <c r="H6" s="122">
        <v>1</v>
      </c>
      <c r="I6" s="121"/>
      <c r="J6" s="121"/>
      <c r="K6" s="104"/>
    </row>
    <row r="7" spans="1:11" ht="15" x14ac:dyDescent="0.2">
      <c r="A7" s="124">
        <v>5</v>
      </c>
      <c r="B7" s="121" t="s">
        <v>770</v>
      </c>
      <c r="C7" s="121" t="s">
        <v>771</v>
      </c>
      <c r="D7" s="123">
        <v>22527</v>
      </c>
      <c r="E7" s="124">
        <f t="shared" ca="1" si="1"/>
        <v>64</v>
      </c>
      <c r="F7" s="123">
        <v>43052</v>
      </c>
      <c r="G7" s="122">
        <f t="shared" ca="1" si="0"/>
        <v>8</v>
      </c>
      <c r="H7" s="122">
        <v>1</v>
      </c>
      <c r="I7" s="121" t="s">
        <v>306</v>
      </c>
      <c r="J7" s="121" t="s">
        <v>772</v>
      </c>
      <c r="K7" s="96"/>
    </row>
    <row r="8" spans="1:11" ht="15" x14ac:dyDescent="0.2">
      <c r="A8" s="124">
        <v>6</v>
      </c>
      <c r="B8" s="121" t="s">
        <v>773</v>
      </c>
      <c r="C8" s="121" t="s">
        <v>774</v>
      </c>
      <c r="D8" s="123">
        <v>27798</v>
      </c>
      <c r="E8" s="124">
        <f t="shared" ca="1" si="1"/>
        <v>50</v>
      </c>
      <c r="F8" s="123">
        <v>42569</v>
      </c>
      <c r="G8" s="122">
        <f t="shared" ca="1" si="0"/>
        <v>9</v>
      </c>
      <c r="H8" s="122">
        <v>1</v>
      </c>
      <c r="I8" s="121" t="s">
        <v>306</v>
      </c>
      <c r="J8" s="121" t="s">
        <v>306</v>
      </c>
      <c r="K8" s="96"/>
    </row>
    <row r="9" spans="1:11" ht="15" x14ac:dyDescent="0.2">
      <c r="A9" s="124">
        <v>7</v>
      </c>
      <c r="B9" s="121" t="s">
        <v>775</v>
      </c>
      <c r="C9" s="121" t="s">
        <v>776</v>
      </c>
      <c r="D9" s="123">
        <v>25335</v>
      </c>
      <c r="E9" s="124">
        <f t="shared" ca="1" si="1"/>
        <v>57</v>
      </c>
      <c r="F9" s="123">
        <v>35065</v>
      </c>
      <c r="G9" s="122">
        <f t="shared" ca="1" si="0"/>
        <v>30</v>
      </c>
      <c r="H9" s="122">
        <v>1</v>
      </c>
      <c r="I9" s="121" t="s">
        <v>306</v>
      </c>
      <c r="J9" s="121" t="s">
        <v>306</v>
      </c>
      <c r="K9" s="96"/>
    </row>
    <row r="10" spans="1:11" ht="15" x14ac:dyDescent="0.2">
      <c r="A10" s="124">
        <v>8</v>
      </c>
      <c r="B10" s="121" t="s">
        <v>777</v>
      </c>
      <c r="C10" s="121" t="s">
        <v>778</v>
      </c>
      <c r="D10" s="123">
        <v>37394</v>
      </c>
      <c r="E10" s="124">
        <f t="shared" ca="1" si="1"/>
        <v>24</v>
      </c>
      <c r="F10" s="123">
        <v>45170</v>
      </c>
      <c r="G10" s="122">
        <f t="shared" ca="1" si="0"/>
        <v>2</v>
      </c>
      <c r="H10" s="122">
        <v>1</v>
      </c>
      <c r="I10" s="121"/>
      <c r="J10" s="121"/>
      <c r="K10" s="96"/>
    </row>
    <row r="11" spans="1:11" ht="15" x14ac:dyDescent="0.2">
      <c r="A11" s="124">
        <v>9</v>
      </c>
      <c r="B11" s="121" t="s">
        <v>779</v>
      </c>
      <c r="C11" s="121" t="s">
        <v>780</v>
      </c>
      <c r="D11" s="123">
        <v>24866</v>
      </c>
      <c r="E11" s="124">
        <f t="shared" ca="1" si="1"/>
        <v>58</v>
      </c>
      <c r="F11" s="123">
        <v>43525</v>
      </c>
      <c r="G11" s="122">
        <f t="shared" ca="1" si="0"/>
        <v>7</v>
      </c>
      <c r="H11" s="122">
        <v>1</v>
      </c>
      <c r="I11" s="121" t="s">
        <v>306</v>
      </c>
      <c r="J11" s="121" t="s">
        <v>306</v>
      </c>
      <c r="K11" s="96"/>
    </row>
    <row r="12" spans="1:11" ht="15" x14ac:dyDescent="0.2">
      <c r="A12" s="124">
        <v>10</v>
      </c>
      <c r="B12" s="121" t="s">
        <v>781</v>
      </c>
      <c r="C12" s="121" t="s">
        <v>782</v>
      </c>
      <c r="D12" s="123">
        <v>28190</v>
      </c>
      <c r="E12" s="124">
        <f t="shared" ca="1" si="1"/>
        <v>49</v>
      </c>
      <c r="F12" s="123">
        <v>44958</v>
      </c>
      <c r="G12" s="122">
        <f t="shared" ca="1" si="0"/>
        <v>3</v>
      </c>
      <c r="H12" s="122">
        <v>1</v>
      </c>
      <c r="I12" s="121"/>
      <c r="J12" s="121"/>
      <c r="K12" s="96"/>
    </row>
    <row r="13" spans="1:11" ht="15" x14ac:dyDescent="0.2">
      <c r="A13" s="124">
        <v>11</v>
      </c>
      <c r="B13" s="121" t="s">
        <v>783</v>
      </c>
      <c r="C13" s="121" t="s">
        <v>784</v>
      </c>
      <c r="D13" s="123">
        <v>34077</v>
      </c>
      <c r="E13" s="124">
        <f t="shared" ca="1" si="1"/>
        <v>33</v>
      </c>
      <c r="F13" s="123">
        <v>43252</v>
      </c>
      <c r="G13" s="122">
        <f t="shared" ca="1" si="0"/>
        <v>7</v>
      </c>
      <c r="H13" s="122">
        <v>1</v>
      </c>
      <c r="I13" s="121" t="s">
        <v>306</v>
      </c>
      <c r="J13" s="121" t="s">
        <v>306</v>
      </c>
      <c r="K13" s="96"/>
    </row>
    <row r="14" spans="1:11" ht="15" hidden="1" x14ac:dyDescent="0.2">
      <c r="A14" s="124">
        <v>12</v>
      </c>
      <c r="B14" s="121" t="s">
        <v>785</v>
      </c>
      <c r="C14" s="121" t="s">
        <v>786</v>
      </c>
      <c r="D14" s="123">
        <v>28801</v>
      </c>
      <c r="E14" s="124">
        <f t="shared" ca="1" si="1"/>
        <v>47</v>
      </c>
      <c r="F14" s="123">
        <v>45761</v>
      </c>
      <c r="G14" s="122">
        <f t="shared" ca="1" si="0"/>
        <v>1</v>
      </c>
      <c r="H14" s="122">
        <v>1</v>
      </c>
      <c r="I14" s="121"/>
      <c r="J14" s="121"/>
      <c r="K14" s="96"/>
    </row>
    <row r="15" spans="1:11" ht="15" x14ac:dyDescent="0.2">
      <c r="A15" s="124">
        <v>13</v>
      </c>
      <c r="B15" s="121" t="s">
        <v>787</v>
      </c>
      <c r="C15" s="121" t="s">
        <v>788</v>
      </c>
      <c r="D15" s="123">
        <v>29250</v>
      </c>
      <c r="E15" s="124">
        <f t="shared" ca="1" si="1"/>
        <v>46</v>
      </c>
      <c r="F15" s="123">
        <v>44942</v>
      </c>
      <c r="G15" s="122">
        <f t="shared" ca="1" si="0"/>
        <v>3</v>
      </c>
      <c r="H15" s="122">
        <v>1</v>
      </c>
      <c r="I15" s="121"/>
      <c r="J15" s="121"/>
      <c r="K15" s="96"/>
    </row>
    <row r="16" spans="1:11" ht="15" x14ac:dyDescent="0.2">
      <c r="A16" s="124">
        <v>14</v>
      </c>
      <c r="B16" s="121" t="s">
        <v>789</v>
      </c>
      <c r="C16" s="121" t="s">
        <v>790</v>
      </c>
      <c r="D16" s="123">
        <v>26550</v>
      </c>
      <c r="E16" s="124">
        <f t="shared" ca="1" si="1"/>
        <v>53</v>
      </c>
      <c r="F16" s="123">
        <v>38593</v>
      </c>
      <c r="G16" s="122">
        <f t="shared" ca="1" si="0"/>
        <v>20</v>
      </c>
      <c r="H16" s="122">
        <v>1</v>
      </c>
      <c r="I16" s="121" t="s">
        <v>306</v>
      </c>
      <c r="J16" s="121" t="s">
        <v>306</v>
      </c>
      <c r="K16" s="96"/>
    </row>
    <row r="17" spans="1:11" ht="15" x14ac:dyDescent="0.2">
      <c r="A17" s="124">
        <v>15</v>
      </c>
      <c r="B17" s="121" t="s">
        <v>791</v>
      </c>
      <c r="C17" s="121" t="s">
        <v>792</v>
      </c>
      <c r="D17" s="123">
        <v>22597</v>
      </c>
      <c r="E17" s="124">
        <f t="shared" ca="1" si="1"/>
        <v>64</v>
      </c>
      <c r="F17" s="123">
        <v>39321</v>
      </c>
      <c r="G17" s="122">
        <f t="shared" ca="1" si="0"/>
        <v>18</v>
      </c>
      <c r="H17" s="122">
        <v>1</v>
      </c>
      <c r="I17" s="121" t="s">
        <v>306</v>
      </c>
      <c r="J17" s="121" t="s">
        <v>306</v>
      </c>
      <c r="K17" s="96"/>
    </row>
    <row r="18" spans="1:11" ht="15" x14ac:dyDescent="0.2">
      <c r="A18" s="124">
        <v>16</v>
      </c>
      <c r="B18" s="121" t="s">
        <v>793</v>
      </c>
      <c r="C18" s="121" t="s">
        <v>794</v>
      </c>
      <c r="D18" s="123">
        <v>28478</v>
      </c>
      <c r="E18" s="124">
        <f t="shared" ca="1" si="1"/>
        <v>48</v>
      </c>
      <c r="F18" s="123">
        <v>44805</v>
      </c>
      <c r="G18" s="122">
        <f t="shared" ca="1" si="0"/>
        <v>3</v>
      </c>
      <c r="H18" s="122">
        <v>1</v>
      </c>
      <c r="I18" s="121" t="s">
        <v>306</v>
      </c>
      <c r="J18" s="121" t="s">
        <v>306</v>
      </c>
      <c r="K18" s="96"/>
    </row>
    <row r="19" spans="1:11" ht="15" x14ac:dyDescent="0.2">
      <c r="A19" s="124">
        <v>17</v>
      </c>
      <c r="B19" s="121" t="s">
        <v>795</v>
      </c>
      <c r="C19" s="121" t="s">
        <v>796</v>
      </c>
      <c r="D19" s="123">
        <v>27855</v>
      </c>
      <c r="E19" s="124">
        <f t="shared" ca="1" si="1"/>
        <v>50</v>
      </c>
      <c r="F19" s="123">
        <v>43285</v>
      </c>
      <c r="G19" s="122">
        <f t="shared" ca="1" si="0"/>
        <v>7</v>
      </c>
      <c r="H19" s="122">
        <v>1</v>
      </c>
      <c r="I19" s="121" t="s">
        <v>306</v>
      </c>
      <c r="J19" s="121"/>
      <c r="K19" s="96"/>
    </row>
    <row r="20" spans="1:11" ht="15" x14ac:dyDescent="0.2">
      <c r="A20" s="124">
        <v>18</v>
      </c>
      <c r="B20" s="121" t="s">
        <v>797</v>
      </c>
      <c r="C20" s="121" t="s">
        <v>798</v>
      </c>
      <c r="D20" s="123">
        <v>28060</v>
      </c>
      <c r="E20" s="124">
        <f t="shared" ca="1" si="1"/>
        <v>49</v>
      </c>
      <c r="F20" s="123">
        <v>42016</v>
      </c>
      <c r="G20" s="122">
        <f t="shared" ca="1" si="0"/>
        <v>11</v>
      </c>
      <c r="H20" s="122">
        <v>1</v>
      </c>
      <c r="I20" s="121" t="s">
        <v>306</v>
      </c>
      <c r="J20" s="121" t="s">
        <v>306</v>
      </c>
      <c r="K20" s="96"/>
    </row>
    <row r="21" spans="1:11" ht="15" x14ac:dyDescent="0.2">
      <c r="A21" s="124">
        <v>19</v>
      </c>
      <c r="B21" s="121" t="s">
        <v>799</v>
      </c>
      <c r="C21" s="121" t="s">
        <v>800</v>
      </c>
      <c r="D21" s="123">
        <v>36809</v>
      </c>
      <c r="E21" s="124">
        <f t="shared" ca="1" si="1"/>
        <v>25</v>
      </c>
      <c r="F21" s="123">
        <v>44056</v>
      </c>
      <c r="G21" s="122">
        <f t="shared" ca="1" si="0"/>
        <v>5</v>
      </c>
      <c r="H21" s="122">
        <v>1</v>
      </c>
      <c r="I21" s="121" t="s">
        <v>306</v>
      </c>
      <c r="J21" s="121" t="s">
        <v>306</v>
      </c>
      <c r="K21" s="96"/>
    </row>
    <row r="22" spans="1:11" ht="15" hidden="1" x14ac:dyDescent="0.2">
      <c r="A22" s="124">
        <v>20</v>
      </c>
      <c r="B22" s="121" t="s">
        <v>801</v>
      </c>
      <c r="C22" s="121" t="s">
        <v>802</v>
      </c>
      <c r="D22" s="123">
        <v>28237</v>
      </c>
      <c r="E22" s="124">
        <f t="shared" ca="1" si="1"/>
        <v>49</v>
      </c>
      <c r="F22" s="123">
        <v>45976</v>
      </c>
      <c r="G22" s="122">
        <f t="shared" ca="1" si="0"/>
        <v>0</v>
      </c>
      <c r="H22" s="122">
        <v>1</v>
      </c>
      <c r="I22" s="121"/>
      <c r="J22" s="121"/>
      <c r="K22" s="96"/>
    </row>
    <row r="23" spans="1:11" ht="15" hidden="1" x14ac:dyDescent="0.2">
      <c r="A23" s="124">
        <v>21</v>
      </c>
      <c r="B23" s="121" t="s">
        <v>803</v>
      </c>
      <c r="C23" s="121" t="s">
        <v>804</v>
      </c>
      <c r="D23" s="123">
        <v>33441</v>
      </c>
      <c r="E23" s="124">
        <f t="shared" ca="1" si="1"/>
        <v>34</v>
      </c>
      <c r="F23" s="123">
        <v>45783</v>
      </c>
      <c r="G23" s="122">
        <f t="shared" ca="1" si="0"/>
        <v>1</v>
      </c>
      <c r="H23" s="122">
        <v>1</v>
      </c>
      <c r="I23" s="121"/>
      <c r="J23" s="121"/>
      <c r="K23" s="96"/>
    </row>
    <row r="24" spans="1:11" ht="15" x14ac:dyDescent="0.2">
      <c r="A24" s="124">
        <v>22</v>
      </c>
      <c r="B24" s="121" t="s">
        <v>805</v>
      </c>
      <c r="C24" s="121" t="s">
        <v>806</v>
      </c>
      <c r="D24" s="123">
        <v>33239</v>
      </c>
      <c r="E24" s="124">
        <f t="shared" ca="1" si="1"/>
        <v>35</v>
      </c>
      <c r="F24" s="123">
        <v>44823</v>
      </c>
      <c r="G24" s="122">
        <f t="shared" ca="1" si="0"/>
        <v>3</v>
      </c>
      <c r="H24" s="122">
        <v>1</v>
      </c>
      <c r="I24" s="121" t="s">
        <v>306</v>
      </c>
      <c r="J24" s="121" t="s">
        <v>306</v>
      </c>
      <c r="K24" s="96"/>
    </row>
    <row r="25" spans="1:11" ht="15" hidden="1" x14ac:dyDescent="0.2">
      <c r="A25" s="124">
        <v>23</v>
      </c>
      <c r="B25" s="121" t="s">
        <v>807</v>
      </c>
      <c r="C25" s="121" t="s">
        <v>808</v>
      </c>
      <c r="D25" s="123">
        <v>26093</v>
      </c>
      <c r="E25" s="124">
        <f t="shared" ca="1" si="1"/>
        <v>54</v>
      </c>
      <c r="F25" s="123">
        <v>45962</v>
      </c>
      <c r="G25" s="122">
        <f t="shared" ca="1" si="0"/>
        <v>0</v>
      </c>
      <c r="H25" s="122">
        <v>1</v>
      </c>
      <c r="I25" s="121"/>
      <c r="J25" s="121"/>
      <c r="K25" s="96"/>
    </row>
    <row r="26" spans="1:11" ht="15" x14ac:dyDescent="0.2">
      <c r="A26" s="124">
        <v>24</v>
      </c>
      <c r="B26" s="121" t="s">
        <v>809</v>
      </c>
      <c r="C26" s="121" t="s">
        <v>810</v>
      </c>
      <c r="D26" s="123">
        <v>28842</v>
      </c>
      <c r="E26" s="124">
        <f t="shared" ca="1" si="1"/>
        <v>47</v>
      </c>
      <c r="F26" s="123">
        <v>42006</v>
      </c>
      <c r="G26" s="122">
        <f t="shared" ca="1" si="0"/>
        <v>11</v>
      </c>
      <c r="H26" s="122">
        <v>1</v>
      </c>
      <c r="I26" s="121" t="s">
        <v>306</v>
      </c>
      <c r="J26" s="121" t="s">
        <v>306</v>
      </c>
      <c r="K26" s="96"/>
    </row>
    <row r="27" spans="1:11" ht="15" x14ac:dyDescent="0.2">
      <c r="A27" s="124">
        <v>25</v>
      </c>
      <c r="B27" s="121" t="s">
        <v>811</v>
      </c>
      <c r="C27" s="121" t="s">
        <v>812</v>
      </c>
      <c r="D27" s="123">
        <v>26924</v>
      </c>
      <c r="E27" s="124">
        <f t="shared" ca="1" si="1"/>
        <v>52</v>
      </c>
      <c r="F27" s="123">
        <v>43497</v>
      </c>
      <c r="G27" s="122">
        <f t="shared" ca="1" si="0"/>
        <v>7</v>
      </c>
      <c r="H27" s="122">
        <v>1</v>
      </c>
      <c r="I27" s="121" t="s">
        <v>306</v>
      </c>
      <c r="J27" s="121" t="s">
        <v>306</v>
      </c>
      <c r="K27" s="96"/>
    </row>
    <row r="28" spans="1:11" ht="15" x14ac:dyDescent="0.2">
      <c r="A28" s="124">
        <v>26</v>
      </c>
      <c r="B28" s="121" t="s">
        <v>813</v>
      </c>
      <c r="C28" s="121" t="s">
        <v>780</v>
      </c>
      <c r="D28" s="123">
        <v>29035</v>
      </c>
      <c r="E28" s="124">
        <f t="shared" ca="1" si="1"/>
        <v>46</v>
      </c>
      <c r="F28" s="123">
        <v>41456</v>
      </c>
      <c r="G28" s="122">
        <f t="shared" ca="1" si="0"/>
        <v>12</v>
      </c>
      <c r="H28" s="122">
        <v>1</v>
      </c>
      <c r="I28" s="121" t="s">
        <v>306</v>
      </c>
      <c r="J28" s="121" t="s">
        <v>814</v>
      </c>
      <c r="K28" s="96"/>
    </row>
    <row r="29" spans="1:11" ht="15" x14ac:dyDescent="0.2">
      <c r="A29" s="124">
        <v>27</v>
      </c>
      <c r="B29" s="121" t="s">
        <v>815</v>
      </c>
      <c r="C29" s="121" t="s">
        <v>816</v>
      </c>
      <c r="D29" s="123">
        <v>23021</v>
      </c>
      <c r="E29" s="124">
        <f t="shared" ca="1" si="1"/>
        <v>63</v>
      </c>
      <c r="F29" s="123">
        <v>36213</v>
      </c>
      <c r="G29" s="122">
        <f t="shared" ca="1" si="0"/>
        <v>27</v>
      </c>
      <c r="H29" s="122">
        <v>0</v>
      </c>
      <c r="I29" s="121" t="s">
        <v>306</v>
      </c>
      <c r="J29" s="121" t="s">
        <v>817</v>
      </c>
      <c r="K29" s="96"/>
    </row>
    <row r="30" spans="1:11" ht="15" x14ac:dyDescent="0.2">
      <c r="A30" s="124">
        <v>28</v>
      </c>
      <c r="B30" s="121" t="s">
        <v>818</v>
      </c>
      <c r="C30" s="121" t="s">
        <v>780</v>
      </c>
      <c r="D30" s="123">
        <v>30803</v>
      </c>
      <c r="E30" s="124">
        <f t="shared" ca="1" si="1"/>
        <v>42</v>
      </c>
      <c r="F30" s="123">
        <v>42548</v>
      </c>
      <c r="G30" s="122">
        <f t="shared" ca="1" si="0"/>
        <v>9</v>
      </c>
      <c r="H30" s="122">
        <v>1</v>
      </c>
      <c r="I30" s="121" t="s">
        <v>306</v>
      </c>
      <c r="J30" s="121" t="s">
        <v>306</v>
      </c>
      <c r="K30" s="96"/>
    </row>
    <row r="31" spans="1:11" ht="15" hidden="1" x14ac:dyDescent="0.2">
      <c r="A31" s="124">
        <v>29</v>
      </c>
      <c r="B31" s="121" t="s">
        <v>819</v>
      </c>
      <c r="C31" s="121" t="s">
        <v>820</v>
      </c>
      <c r="D31" s="123">
        <v>30635</v>
      </c>
      <c r="E31" s="124">
        <f t="shared" ca="1" si="1"/>
        <v>42</v>
      </c>
      <c r="F31" s="123">
        <v>45810</v>
      </c>
      <c r="G31" s="122">
        <f t="shared" ca="1" si="0"/>
        <v>0</v>
      </c>
      <c r="H31" s="122">
        <v>1</v>
      </c>
      <c r="I31" s="121"/>
      <c r="J31" s="121"/>
      <c r="K31" s="96"/>
    </row>
    <row r="32" spans="1:11" ht="15" x14ac:dyDescent="0.2">
      <c r="A32" s="124">
        <v>30</v>
      </c>
      <c r="B32" s="121" t="s">
        <v>821</v>
      </c>
      <c r="C32" s="121" t="s">
        <v>822</v>
      </c>
      <c r="D32" s="123">
        <v>27708</v>
      </c>
      <c r="E32" s="124">
        <f t="shared" ca="1" si="1"/>
        <v>50</v>
      </c>
      <c r="F32" s="123">
        <v>45201</v>
      </c>
      <c r="G32" s="122">
        <f t="shared" ca="1" si="0"/>
        <v>2</v>
      </c>
      <c r="H32" s="122">
        <v>1</v>
      </c>
      <c r="I32" s="121"/>
      <c r="J32" s="121"/>
      <c r="K32" s="96"/>
    </row>
    <row r="33" spans="1:11" ht="15" x14ac:dyDescent="0.2">
      <c r="A33" s="124">
        <v>31</v>
      </c>
      <c r="B33" s="121" t="s">
        <v>823</v>
      </c>
      <c r="C33" s="121" t="s">
        <v>824</v>
      </c>
      <c r="D33" s="123">
        <v>30108</v>
      </c>
      <c r="E33" s="124">
        <f t="shared" ca="1" si="1"/>
        <v>43</v>
      </c>
      <c r="F33" s="123">
        <v>44438</v>
      </c>
      <c r="G33" s="122">
        <f t="shared" ca="1" si="0"/>
        <v>4</v>
      </c>
      <c r="H33" s="122">
        <v>1</v>
      </c>
      <c r="I33" s="121" t="s">
        <v>306</v>
      </c>
      <c r="J33" s="121" t="s">
        <v>306</v>
      </c>
      <c r="K33" s="96"/>
    </row>
    <row r="34" spans="1:11" ht="15" x14ac:dyDescent="0.2">
      <c r="A34" s="124">
        <v>32</v>
      </c>
      <c r="B34" s="121" t="s">
        <v>825</v>
      </c>
      <c r="C34" s="121" t="s">
        <v>826</v>
      </c>
      <c r="D34" s="123">
        <v>31541</v>
      </c>
      <c r="E34" s="124">
        <f t="shared" ca="1" si="1"/>
        <v>40</v>
      </c>
      <c r="F34" s="123">
        <v>39237</v>
      </c>
      <c r="G34" s="122">
        <f t="shared" ref="G34:G64" ca="1" si="2">ROUNDDOWN(YEARFRAC(F34,TODAY(),3),0)</f>
        <v>18</v>
      </c>
      <c r="H34" s="122">
        <v>1</v>
      </c>
      <c r="I34" s="121" t="s">
        <v>306</v>
      </c>
      <c r="J34" s="121" t="s">
        <v>306</v>
      </c>
      <c r="K34" s="96"/>
    </row>
    <row r="35" spans="1:11" ht="15" x14ac:dyDescent="0.2">
      <c r="A35" s="124">
        <v>33</v>
      </c>
      <c r="B35" s="121" t="s">
        <v>827</v>
      </c>
      <c r="C35" s="121" t="s">
        <v>798</v>
      </c>
      <c r="D35" s="123">
        <v>26097</v>
      </c>
      <c r="E35" s="124">
        <f t="shared" ca="1" si="1"/>
        <v>54</v>
      </c>
      <c r="F35" s="123">
        <v>43009</v>
      </c>
      <c r="G35" s="122">
        <f t="shared" ca="1" si="2"/>
        <v>8</v>
      </c>
      <c r="H35" s="122">
        <v>1</v>
      </c>
      <c r="I35" s="121" t="s">
        <v>306</v>
      </c>
      <c r="J35" s="121" t="s">
        <v>306</v>
      </c>
      <c r="K35" s="96"/>
    </row>
    <row r="36" spans="1:11" ht="15" x14ac:dyDescent="0.2">
      <c r="A36" s="124">
        <v>34</v>
      </c>
      <c r="B36" s="121" t="s">
        <v>827</v>
      </c>
      <c r="C36" s="121" t="s">
        <v>828</v>
      </c>
      <c r="D36" s="123">
        <v>37855</v>
      </c>
      <c r="E36" s="124">
        <f t="shared" ca="1" si="1"/>
        <v>22</v>
      </c>
      <c r="F36" s="123">
        <v>44809</v>
      </c>
      <c r="G36" s="122">
        <f t="shared" ca="1" si="2"/>
        <v>3</v>
      </c>
      <c r="H36" s="122">
        <v>1</v>
      </c>
      <c r="I36" s="121" t="s">
        <v>306</v>
      </c>
      <c r="J36" s="121" t="s">
        <v>306</v>
      </c>
      <c r="K36" s="96"/>
    </row>
    <row r="37" spans="1:11" ht="15" hidden="1" x14ac:dyDescent="0.2">
      <c r="A37" s="124">
        <v>35</v>
      </c>
      <c r="B37" s="121" t="s">
        <v>829</v>
      </c>
      <c r="C37" s="121" t="s">
        <v>830</v>
      </c>
      <c r="D37" s="123">
        <v>28698</v>
      </c>
      <c r="E37" s="124">
        <f t="shared" ref="E37:E67" ca="1" si="3">ROUNDDOWN(YEARFRAC(D37,TODAY(),3),0)</f>
        <v>47</v>
      </c>
      <c r="F37" s="123">
        <v>45901</v>
      </c>
      <c r="G37" s="122">
        <f t="shared" ca="1" si="2"/>
        <v>0</v>
      </c>
      <c r="H37" s="122">
        <v>1</v>
      </c>
      <c r="I37" s="121"/>
      <c r="J37" s="121"/>
      <c r="K37" s="96"/>
    </row>
    <row r="38" spans="1:11" ht="15" x14ac:dyDescent="0.2">
      <c r="A38" s="124">
        <v>36</v>
      </c>
      <c r="B38" s="121" t="s">
        <v>831</v>
      </c>
      <c r="C38" s="121" t="s">
        <v>832</v>
      </c>
      <c r="D38" s="123">
        <v>26299</v>
      </c>
      <c r="E38" s="124">
        <f t="shared" ca="1" si="3"/>
        <v>54</v>
      </c>
      <c r="F38" s="123">
        <v>38891</v>
      </c>
      <c r="G38" s="122">
        <f t="shared" ca="1" si="2"/>
        <v>19</v>
      </c>
      <c r="H38" s="122">
        <v>1</v>
      </c>
      <c r="I38" s="121" t="s">
        <v>306</v>
      </c>
      <c r="J38" s="121" t="s">
        <v>306</v>
      </c>
      <c r="K38" s="96"/>
    </row>
    <row r="39" spans="1:11" ht="15" x14ac:dyDescent="0.2">
      <c r="A39" s="124">
        <v>37</v>
      </c>
      <c r="B39" s="121" t="s">
        <v>833</v>
      </c>
      <c r="C39" s="121" t="s">
        <v>834</v>
      </c>
      <c r="D39" s="123">
        <v>24008</v>
      </c>
      <c r="E39" s="124">
        <f t="shared" ca="1" si="3"/>
        <v>60</v>
      </c>
      <c r="F39" s="123">
        <v>42857</v>
      </c>
      <c r="G39" s="122">
        <f t="shared" ca="1" si="2"/>
        <v>9</v>
      </c>
      <c r="H39" s="122">
        <v>1</v>
      </c>
      <c r="I39" s="121" t="s">
        <v>306</v>
      </c>
      <c r="J39" s="121" t="s">
        <v>306</v>
      </c>
      <c r="K39" s="96"/>
    </row>
    <row r="40" spans="1:11" ht="15" x14ac:dyDescent="0.2">
      <c r="A40" s="124">
        <v>38</v>
      </c>
      <c r="B40" s="121" t="s">
        <v>835</v>
      </c>
      <c r="C40" s="121" t="s">
        <v>836</v>
      </c>
      <c r="D40" s="123">
        <v>29478</v>
      </c>
      <c r="E40" s="124">
        <f t="shared" ca="1" si="3"/>
        <v>45</v>
      </c>
      <c r="F40" s="123">
        <v>45643</v>
      </c>
      <c r="G40" s="122">
        <f t="shared" ca="1" si="2"/>
        <v>1</v>
      </c>
      <c r="H40" s="122">
        <v>1</v>
      </c>
      <c r="I40" s="121"/>
      <c r="J40" s="121"/>
      <c r="K40" s="96"/>
    </row>
    <row r="41" spans="1:11" ht="15" hidden="1" x14ac:dyDescent="0.2">
      <c r="A41" s="124">
        <v>39</v>
      </c>
      <c r="B41" s="121" t="s">
        <v>837</v>
      </c>
      <c r="C41" s="121" t="s">
        <v>838</v>
      </c>
      <c r="D41" s="123">
        <v>28803</v>
      </c>
      <c r="E41" s="124">
        <f t="shared" ca="1" si="3"/>
        <v>47</v>
      </c>
      <c r="F41" s="123">
        <v>45943</v>
      </c>
      <c r="G41" s="122">
        <f t="shared" ca="1" si="2"/>
        <v>0</v>
      </c>
      <c r="H41" s="122">
        <v>1</v>
      </c>
      <c r="I41" s="121"/>
      <c r="J41" s="121"/>
      <c r="K41" s="96"/>
    </row>
    <row r="42" spans="1:11" ht="15" x14ac:dyDescent="0.2">
      <c r="A42" s="124">
        <v>40</v>
      </c>
      <c r="B42" s="121" t="s">
        <v>839</v>
      </c>
      <c r="C42" s="121" t="s">
        <v>840</v>
      </c>
      <c r="D42" s="123">
        <v>31620</v>
      </c>
      <c r="E42" s="124">
        <f t="shared" ca="1" si="3"/>
        <v>39</v>
      </c>
      <c r="F42" s="123">
        <v>44287</v>
      </c>
      <c r="G42" s="122">
        <f t="shared" ca="1" si="2"/>
        <v>5</v>
      </c>
      <c r="H42" s="122">
        <v>1</v>
      </c>
      <c r="I42" s="121" t="s">
        <v>306</v>
      </c>
      <c r="J42" s="121" t="s">
        <v>306</v>
      </c>
      <c r="K42" s="96"/>
    </row>
    <row r="43" spans="1:11" ht="15" hidden="1" x14ac:dyDescent="0.2">
      <c r="A43" s="124">
        <v>41</v>
      </c>
      <c r="B43" s="121" t="s">
        <v>841</v>
      </c>
      <c r="C43" s="121" t="s">
        <v>842</v>
      </c>
      <c r="D43" s="123">
        <v>31357</v>
      </c>
      <c r="E43" s="124">
        <f t="shared" ca="1" si="3"/>
        <v>40</v>
      </c>
      <c r="F43" s="123">
        <v>45839</v>
      </c>
      <c r="G43" s="122">
        <f t="shared" ca="1" si="2"/>
        <v>0</v>
      </c>
      <c r="H43" s="122">
        <v>1</v>
      </c>
      <c r="I43" s="121"/>
      <c r="J43" s="121"/>
      <c r="K43" s="96"/>
    </row>
    <row r="44" spans="1:11" ht="15" x14ac:dyDescent="0.2">
      <c r="A44" s="124">
        <v>42</v>
      </c>
      <c r="B44" s="121" t="s">
        <v>843</v>
      </c>
      <c r="C44" s="121" t="s">
        <v>844</v>
      </c>
      <c r="D44" s="123">
        <v>23287</v>
      </c>
      <c r="E44" s="124">
        <f t="shared" ca="1" si="3"/>
        <v>62</v>
      </c>
      <c r="F44" s="123">
        <v>43290</v>
      </c>
      <c r="G44" s="122">
        <f t="shared" ca="1" si="2"/>
        <v>7</v>
      </c>
      <c r="H44" s="122">
        <v>1</v>
      </c>
      <c r="I44" s="121" t="s">
        <v>306</v>
      </c>
      <c r="J44" s="121" t="s">
        <v>306</v>
      </c>
      <c r="K44" s="96"/>
    </row>
    <row r="45" spans="1:11" ht="15" x14ac:dyDescent="0.2">
      <c r="A45" s="124">
        <v>43</v>
      </c>
      <c r="B45" s="121" t="s">
        <v>845</v>
      </c>
      <c r="C45" s="121" t="s">
        <v>846</v>
      </c>
      <c r="D45" s="123">
        <v>28667</v>
      </c>
      <c r="E45" s="124">
        <f t="shared" ca="1" si="3"/>
        <v>47</v>
      </c>
      <c r="F45" s="123">
        <v>41442</v>
      </c>
      <c r="G45" s="122">
        <f t="shared" ca="1" si="2"/>
        <v>12</v>
      </c>
      <c r="H45" s="122">
        <v>1</v>
      </c>
      <c r="I45" s="121" t="s">
        <v>306</v>
      </c>
      <c r="J45" s="121" t="s">
        <v>306</v>
      </c>
      <c r="K45" s="96"/>
    </row>
    <row r="46" spans="1:11" ht="15" x14ac:dyDescent="0.2">
      <c r="A46" s="124">
        <v>44</v>
      </c>
      <c r="B46" s="121" t="s">
        <v>847</v>
      </c>
      <c r="C46" s="121" t="s">
        <v>848</v>
      </c>
      <c r="D46" s="123">
        <v>24779</v>
      </c>
      <c r="E46" s="124">
        <f t="shared" ca="1" si="3"/>
        <v>58</v>
      </c>
      <c r="F46" s="123">
        <v>44816</v>
      </c>
      <c r="G46" s="122">
        <f t="shared" ca="1" si="2"/>
        <v>3</v>
      </c>
      <c r="H46" s="122">
        <v>1</v>
      </c>
      <c r="I46" s="121" t="s">
        <v>306</v>
      </c>
      <c r="J46" s="121"/>
      <c r="K46" s="96"/>
    </row>
    <row r="47" spans="1:11" ht="15" x14ac:dyDescent="0.2">
      <c r="A47" s="124">
        <v>45</v>
      </c>
      <c r="B47" s="121" t="s">
        <v>849</v>
      </c>
      <c r="C47" s="121" t="s">
        <v>850</v>
      </c>
      <c r="D47" s="123">
        <v>32100</v>
      </c>
      <c r="E47" s="124">
        <f t="shared" ca="1" si="3"/>
        <v>38</v>
      </c>
      <c r="F47" s="123">
        <v>44928</v>
      </c>
      <c r="G47" s="122">
        <f t="shared" ca="1" si="2"/>
        <v>3</v>
      </c>
      <c r="H47" s="122">
        <v>1</v>
      </c>
      <c r="I47" s="121"/>
      <c r="J47" s="121"/>
      <c r="K47" s="96"/>
    </row>
    <row r="48" spans="1:11" ht="15" x14ac:dyDescent="0.2">
      <c r="A48" s="124">
        <v>46</v>
      </c>
      <c r="B48" s="121" t="s">
        <v>851</v>
      </c>
      <c r="C48" s="121" t="s">
        <v>852</v>
      </c>
      <c r="D48" s="123">
        <v>26714</v>
      </c>
      <c r="E48" s="124">
        <f t="shared" ca="1" si="3"/>
        <v>53</v>
      </c>
      <c r="F48" s="123">
        <v>43318</v>
      </c>
      <c r="G48" s="122">
        <f t="shared" ca="1" si="2"/>
        <v>7</v>
      </c>
      <c r="H48" s="122">
        <v>1</v>
      </c>
      <c r="I48" s="121" t="s">
        <v>306</v>
      </c>
      <c r="J48" s="121" t="s">
        <v>306</v>
      </c>
      <c r="K48" s="96"/>
    </row>
    <row r="49" spans="1:13" ht="15" x14ac:dyDescent="0.2">
      <c r="A49" s="124">
        <v>47</v>
      </c>
      <c r="B49" s="121" t="s">
        <v>853</v>
      </c>
      <c r="C49" s="121" t="s">
        <v>854</v>
      </c>
      <c r="D49" s="123">
        <v>24747</v>
      </c>
      <c r="E49" s="124">
        <f t="shared" ca="1" si="3"/>
        <v>58</v>
      </c>
      <c r="F49" s="123">
        <v>37137</v>
      </c>
      <c r="G49" s="122">
        <f t="shared" ca="1" si="2"/>
        <v>24</v>
      </c>
      <c r="H49" s="122">
        <v>0</v>
      </c>
      <c r="I49" s="121" t="s">
        <v>306</v>
      </c>
      <c r="J49" s="121" t="s">
        <v>817</v>
      </c>
      <c r="K49" s="96"/>
    </row>
    <row r="50" spans="1:13" ht="15" x14ac:dyDescent="0.2">
      <c r="A50" s="124">
        <v>48</v>
      </c>
      <c r="B50" s="121" t="s">
        <v>855</v>
      </c>
      <c r="C50" s="121" t="s">
        <v>856</v>
      </c>
      <c r="D50" s="126">
        <v>25003</v>
      </c>
      <c r="E50" s="124">
        <f t="shared" ca="1" si="3"/>
        <v>57</v>
      </c>
      <c r="F50" s="123">
        <v>45550</v>
      </c>
      <c r="G50" s="122">
        <f t="shared" ca="1" si="2"/>
        <v>1</v>
      </c>
      <c r="H50" s="122">
        <v>1</v>
      </c>
      <c r="I50" s="121"/>
      <c r="J50" s="121"/>
      <c r="K50" s="96"/>
    </row>
    <row r="51" spans="1:13" ht="15" x14ac:dyDescent="0.2">
      <c r="A51" s="124">
        <v>49</v>
      </c>
      <c r="B51" s="121" t="s">
        <v>857</v>
      </c>
      <c r="C51" s="121" t="s">
        <v>765</v>
      </c>
      <c r="D51" s="123">
        <v>25618</v>
      </c>
      <c r="E51" s="124">
        <f t="shared" ca="1" si="3"/>
        <v>56</v>
      </c>
      <c r="F51" s="123">
        <v>38467</v>
      </c>
      <c r="G51" s="122">
        <f t="shared" ca="1" si="2"/>
        <v>21</v>
      </c>
      <c r="H51" s="122">
        <v>1</v>
      </c>
      <c r="I51" s="121" t="s">
        <v>306</v>
      </c>
      <c r="J51" s="121"/>
      <c r="K51" s="96"/>
    </row>
    <row r="52" spans="1:13" ht="15" x14ac:dyDescent="0.2">
      <c r="A52" s="124">
        <v>50</v>
      </c>
      <c r="B52" s="121" t="s">
        <v>858</v>
      </c>
      <c r="C52" s="121" t="s">
        <v>859</v>
      </c>
      <c r="D52" s="123">
        <v>29856</v>
      </c>
      <c r="E52" s="124">
        <f t="shared" ca="1" si="3"/>
        <v>44</v>
      </c>
      <c r="F52" s="123">
        <v>45488</v>
      </c>
      <c r="G52" s="122">
        <f t="shared" ca="1" si="2"/>
        <v>1</v>
      </c>
      <c r="H52" s="122">
        <v>1</v>
      </c>
      <c r="I52" s="121"/>
      <c r="J52" s="121"/>
      <c r="K52" s="96"/>
    </row>
    <row r="53" spans="1:13" ht="15" x14ac:dyDescent="0.2">
      <c r="A53" s="124">
        <v>51</v>
      </c>
      <c r="B53" s="121" t="s">
        <v>860</v>
      </c>
      <c r="C53" s="121" t="s">
        <v>861</v>
      </c>
      <c r="D53" s="123">
        <v>33171</v>
      </c>
      <c r="E53" s="124">
        <f t="shared" ca="1" si="3"/>
        <v>35</v>
      </c>
      <c r="F53" s="123">
        <v>45566</v>
      </c>
      <c r="G53" s="122">
        <f t="shared" ca="1" si="2"/>
        <v>1</v>
      </c>
      <c r="H53" s="122">
        <v>1</v>
      </c>
      <c r="I53" s="121"/>
      <c r="J53" s="121"/>
      <c r="K53" s="96"/>
    </row>
    <row r="54" spans="1:13" ht="15" x14ac:dyDescent="0.2">
      <c r="A54" s="124">
        <v>52</v>
      </c>
      <c r="B54" s="121" t="s">
        <v>862</v>
      </c>
      <c r="C54" s="121" t="s">
        <v>863</v>
      </c>
      <c r="D54" s="123">
        <v>23309</v>
      </c>
      <c r="E54" s="124">
        <f t="shared" ca="1" si="3"/>
        <v>62</v>
      </c>
      <c r="F54" s="123">
        <v>44440</v>
      </c>
      <c r="G54" s="122">
        <f t="shared" ca="1" si="2"/>
        <v>4</v>
      </c>
      <c r="H54" s="122">
        <v>0</v>
      </c>
      <c r="I54" s="121" t="s">
        <v>306</v>
      </c>
      <c r="J54" s="121" t="s">
        <v>817</v>
      </c>
      <c r="K54" s="96"/>
    </row>
    <row r="55" spans="1:13" ht="15" x14ac:dyDescent="0.2">
      <c r="A55" s="124">
        <v>53</v>
      </c>
      <c r="B55" s="121" t="s">
        <v>864</v>
      </c>
      <c r="C55" s="121" t="s">
        <v>865</v>
      </c>
      <c r="D55" s="123">
        <v>22659</v>
      </c>
      <c r="E55" s="124">
        <f t="shared" ca="1" si="3"/>
        <v>64</v>
      </c>
      <c r="F55" s="123">
        <v>39692</v>
      </c>
      <c r="G55" s="122">
        <f t="shared" ca="1" si="2"/>
        <v>17</v>
      </c>
      <c r="H55" s="122">
        <v>1</v>
      </c>
      <c r="I55" s="121" t="s">
        <v>306</v>
      </c>
      <c r="J55" s="121" t="s">
        <v>306</v>
      </c>
      <c r="K55" s="96"/>
    </row>
    <row r="56" spans="1:13" ht="15" x14ac:dyDescent="0.2">
      <c r="A56" s="124">
        <v>54</v>
      </c>
      <c r="B56" s="121" t="s">
        <v>866</v>
      </c>
      <c r="C56" s="121" t="s">
        <v>867</v>
      </c>
      <c r="D56" s="123">
        <v>27424</v>
      </c>
      <c r="E56" s="124">
        <f t="shared" ca="1" si="3"/>
        <v>51</v>
      </c>
      <c r="F56" s="123">
        <v>44670</v>
      </c>
      <c r="G56" s="122">
        <f t="shared" ca="1" si="2"/>
        <v>4</v>
      </c>
      <c r="H56" s="122">
        <v>1</v>
      </c>
      <c r="I56" s="121" t="s">
        <v>306</v>
      </c>
      <c r="J56" s="121" t="s">
        <v>306</v>
      </c>
      <c r="K56" s="96"/>
    </row>
    <row r="57" spans="1:13" ht="15" x14ac:dyDescent="0.2">
      <c r="A57" s="124">
        <v>55</v>
      </c>
      <c r="B57" s="121" t="s">
        <v>868</v>
      </c>
      <c r="C57" s="121" t="s">
        <v>869</v>
      </c>
      <c r="D57" s="123">
        <v>30722</v>
      </c>
      <c r="E57" s="124">
        <f t="shared" ca="1" si="3"/>
        <v>42</v>
      </c>
      <c r="F57" s="123">
        <v>43285</v>
      </c>
      <c r="G57" s="122">
        <f t="shared" ca="1" si="2"/>
        <v>7</v>
      </c>
      <c r="H57" s="122">
        <v>1</v>
      </c>
      <c r="I57" s="121" t="s">
        <v>306</v>
      </c>
      <c r="J57" s="121" t="s">
        <v>306</v>
      </c>
      <c r="K57" s="96"/>
    </row>
    <row r="58" spans="1:13" ht="15" x14ac:dyDescent="0.2">
      <c r="A58" s="124">
        <v>56</v>
      </c>
      <c r="B58" s="121" t="s">
        <v>870</v>
      </c>
      <c r="C58" s="121" t="s">
        <v>871</v>
      </c>
      <c r="D58" s="123">
        <v>29447</v>
      </c>
      <c r="E58" s="124">
        <f t="shared" ca="1" si="3"/>
        <v>45</v>
      </c>
      <c r="F58" s="123">
        <v>45061</v>
      </c>
      <c r="G58" s="122">
        <f t="shared" ca="1" si="2"/>
        <v>3</v>
      </c>
      <c r="H58" s="122">
        <v>1</v>
      </c>
      <c r="I58" s="121"/>
      <c r="J58" s="121"/>
      <c r="K58" s="96"/>
    </row>
    <row r="59" spans="1:13" ht="15" x14ac:dyDescent="0.2">
      <c r="A59" s="124">
        <v>57</v>
      </c>
      <c r="B59" s="121" t="s">
        <v>872</v>
      </c>
      <c r="C59" s="121" t="s">
        <v>873</v>
      </c>
      <c r="D59" s="123">
        <v>23012</v>
      </c>
      <c r="E59" s="124">
        <f t="shared" ca="1" si="3"/>
        <v>63</v>
      </c>
      <c r="F59" s="123">
        <v>39310</v>
      </c>
      <c r="G59" s="122">
        <f t="shared" ca="1" si="2"/>
        <v>18</v>
      </c>
      <c r="H59" s="122">
        <v>1</v>
      </c>
      <c r="I59" s="121" t="s">
        <v>306</v>
      </c>
      <c r="J59" s="121" t="s">
        <v>772</v>
      </c>
      <c r="K59" s="96"/>
      <c r="M59" s="125"/>
    </row>
    <row r="60" spans="1:13" ht="15" x14ac:dyDescent="0.2">
      <c r="A60" s="124">
        <v>58</v>
      </c>
      <c r="B60" s="121" t="s">
        <v>874</v>
      </c>
      <c r="C60" s="121" t="s">
        <v>875</v>
      </c>
      <c r="D60" s="123">
        <v>23391</v>
      </c>
      <c r="E60" s="124">
        <f t="shared" ca="1" si="3"/>
        <v>62</v>
      </c>
      <c r="F60" s="123">
        <v>32423</v>
      </c>
      <c r="G60" s="122">
        <f t="shared" ca="1" si="2"/>
        <v>37</v>
      </c>
      <c r="H60" s="122">
        <v>1</v>
      </c>
      <c r="I60" s="121" t="s">
        <v>306</v>
      </c>
      <c r="J60" s="121" t="s">
        <v>876</v>
      </c>
      <c r="K60" s="96"/>
    </row>
    <row r="61" spans="1:13" ht="15" x14ac:dyDescent="0.2">
      <c r="A61" s="124">
        <v>59</v>
      </c>
      <c r="B61" s="121" t="s">
        <v>877</v>
      </c>
      <c r="C61" s="121" t="s">
        <v>878</v>
      </c>
      <c r="D61" s="123">
        <v>23615</v>
      </c>
      <c r="E61" s="124">
        <f t="shared" ca="1" si="3"/>
        <v>61</v>
      </c>
      <c r="F61" s="123">
        <v>36738</v>
      </c>
      <c r="G61" s="122">
        <f t="shared" ca="1" si="2"/>
        <v>25</v>
      </c>
      <c r="H61" s="122">
        <v>1</v>
      </c>
      <c r="I61" s="121" t="s">
        <v>306</v>
      </c>
      <c r="J61" s="121" t="s">
        <v>306</v>
      </c>
      <c r="K61" s="96"/>
    </row>
    <row r="62" spans="1:13" ht="15" x14ac:dyDescent="0.2">
      <c r="A62" s="124">
        <v>60</v>
      </c>
      <c r="B62" s="121" t="s">
        <v>879</v>
      </c>
      <c r="C62" s="121" t="s">
        <v>880</v>
      </c>
      <c r="D62" s="123">
        <v>24985</v>
      </c>
      <c r="E62" s="124">
        <f t="shared" ca="1" si="3"/>
        <v>58</v>
      </c>
      <c r="F62" s="123">
        <v>44105</v>
      </c>
      <c r="G62" s="122">
        <f t="shared" ca="1" si="2"/>
        <v>5</v>
      </c>
      <c r="H62" s="122">
        <v>0</v>
      </c>
      <c r="I62" s="121" t="s">
        <v>306</v>
      </c>
      <c r="J62" s="121" t="s">
        <v>817</v>
      </c>
      <c r="K62" s="96"/>
    </row>
    <row r="63" spans="1:13" ht="15" x14ac:dyDescent="0.2">
      <c r="A63" s="124">
        <v>61</v>
      </c>
      <c r="B63" s="121" t="s">
        <v>881</v>
      </c>
      <c r="C63" s="121" t="s">
        <v>816</v>
      </c>
      <c r="D63" s="123">
        <v>23028</v>
      </c>
      <c r="E63" s="124">
        <f t="shared" ca="1" si="3"/>
        <v>63</v>
      </c>
      <c r="F63" s="123">
        <v>38796</v>
      </c>
      <c r="G63" s="122">
        <f t="shared" ca="1" si="2"/>
        <v>20</v>
      </c>
      <c r="H63" s="122">
        <v>1</v>
      </c>
      <c r="I63" s="121" t="s">
        <v>306</v>
      </c>
      <c r="J63" s="121" t="s">
        <v>772</v>
      </c>
      <c r="K63" s="96"/>
    </row>
    <row r="64" spans="1:13" ht="15" x14ac:dyDescent="0.2">
      <c r="A64" s="124">
        <v>62</v>
      </c>
      <c r="B64" s="121" t="s">
        <v>882</v>
      </c>
      <c r="C64" s="121" t="s">
        <v>883</v>
      </c>
      <c r="D64" s="123">
        <v>29052</v>
      </c>
      <c r="E64" s="124">
        <f t="shared" ca="1" si="3"/>
        <v>46</v>
      </c>
      <c r="F64" s="123">
        <v>44743</v>
      </c>
      <c r="G64" s="122">
        <f t="shared" ca="1" si="2"/>
        <v>3</v>
      </c>
      <c r="H64" s="122">
        <v>1</v>
      </c>
      <c r="I64" s="121" t="s">
        <v>306</v>
      </c>
      <c r="J64" s="121" t="s">
        <v>306</v>
      </c>
      <c r="K64" s="96"/>
    </row>
    <row r="65" spans="1:11" ht="15" x14ac:dyDescent="0.2">
      <c r="A65" s="124">
        <v>63</v>
      </c>
      <c r="B65" s="121" t="s">
        <v>884</v>
      </c>
      <c r="C65" s="121" t="s">
        <v>885</v>
      </c>
      <c r="D65" s="123">
        <v>30010</v>
      </c>
      <c r="E65" s="124">
        <f t="shared" ca="1" si="3"/>
        <v>44</v>
      </c>
      <c r="F65" s="123">
        <v>44958</v>
      </c>
      <c r="G65" s="122">
        <f t="shared" ref="G65:G82" ca="1" si="4">ROUNDDOWN(YEARFRAC(F65,TODAY(),3),0)</f>
        <v>3</v>
      </c>
      <c r="H65" s="122">
        <v>1</v>
      </c>
      <c r="I65" s="121"/>
      <c r="J65" s="121"/>
      <c r="K65" s="96"/>
    </row>
    <row r="66" spans="1:11" ht="15" x14ac:dyDescent="0.2">
      <c r="A66" s="124">
        <v>64</v>
      </c>
      <c r="B66" s="121" t="s">
        <v>886</v>
      </c>
      <c r="C66" s="121" t="s">
        <v>848</v>
      </c>
      <c r="D66" s="123">
        <v>24497</v>
      </c>
      <c r="E66" s="124">
        <f t="shared" ca="1" si="3"/>
        <v>59</v>
      </c>
      <c r="F66" s="123">
        <v>43891</v>
      </c>
      <c r="G66" s="122">
        <f t="shared" ca="1" si="4"/>
        <v>6</v>
      </c>
      <c r="H66" s="122">
        <v>1</v>
      </c>
      <c r="I66" s="121" t="s">
        <v>306</v>
      </c>
      <c r="J66" s="121" t="s">
        <v>306</v>
      </c>
      <c r="K66" s="96"/>
    </row>
    <row r="67" spans="1:11" ht="15" x14ac:dyDescent="0.2">
      <c r="A67" s="124">
        <v>65</v>
      </c>
      <c r="B67" s="121" t="s">
        <v>887</v>
      </c>
      <c r="C67" s="121" t="s">
        <v>767</v>
      </c>
      <c r="D67" s="123">
        <v>23032</v>
      </c>
      <c r="E67" s="124">
        <f t="shared" ca="1" si="3"/>
        <v>63</v>
      </c>
      <c r="F67" s="123">
        <v>43122</v>
      </c>
      <c r="G67" s="122">
        <f t="shared" ca="1" si="4"/>
        <v>8</v>
      </c>
      <c r="H67" s="122">
        <v>1</v>
      </c>
      <c r="I67" s="121" t="s">
        <v>306</v>
      </c>
      <c r="J67" s="121" t="s">
        <v>306</v>
      </c>
      <c r="K67" s="96"/>
    </row>
    <row r="68" spans="1:11" ht="15" x14ac:dyDescent="0.2">
      <c r="A68" s="124">
        <v>66</v>
      </c>
      <c r="B68" s="121" t="s">
        <v>888</v>
      </c>
      <c r="C68" s="121" t="s">
        <v>889</v>
      </c>
      <c r="D68" s="123">
        <v>27273</v>
      </c>
      <c r="E68" s="124">
        <f t="shared" ref="E68:E82" ca="1" si="5">ROUNDDOWN(YEARFRAC(D68,TODAY(),3),0)</f>
        <v>51</v>
      </c>
      <c r="F68" s="123">
        <v>43904</v>
      </c>
      <c r="G68" s="122">
        <f t="shared" ca="1" si="4"/>
        <v>6</v>
      </c>
      <c r="H68" s="122">
        <v>1</v>
      </c>
      <c r="I68" s="121" t="s">
        <v>306</v>
      </c>
      <c r="J68" s="121" t="s">
        <v>306</v>
      </c>
      <c r="K68" s="96"/>
    </row>
    <row r="69" spans="1:11" ht="15" x14ac:dyDescent="0.2">
      <c r="A69" s="124">
        <v>67</v>
      </c>
      <c r="B69" s="121" t="s">
        <v>890</v>
      </c>
      <c r="C69" s="121" t="s">
        <v>891</v>
      </c>
      <c r="D69" s="123">
        <v>24286</v>
      </c>
      <c r="E69" s="124">
        <f t="shared" ca="1" si="5"/>
        <v>59</v>
      </c>
      <c r="F69" s="123">
        <v>38817</v>
      </c>
      <c r="G69" s="122">
        <f t="shared" ca="1" si="4"/>
        <v>20</v>
      </c>
      <c r="H69" s="122">
        <v>1</v>
      </c>
      <c r="I69" s="121" t="s">
        <v>306</v>
      </c>
      <c r="J69" s="121" t="s">
        <v>306</v>
      </c>
      <c r="K69" s="96"/>
    </row>
    <row r="70" spans="1:11" ht="15" x14ac:dyDescent="0.2">
      <c r="A70" s="124">
        <v>68</v>
      </c>
      <c r="B70" s="121" t="s">
        <v>892</v>
      </c>
      <c r="C70" s="121" t="s">
        <v>765</v>
      </c>
      <c r="D70" s="123">
        <v>26484</v>
      </c>
      <c r="E70" s="124">
        <f t="shared" ca="1" si="5"/>
        <v>53</v>
      </c>
      <c r="F70" s="123">
        <v>44635</v>
      </c>
      <c r="G70" s="122">
        <f t="shared" ca="1" si="4"/>
        <v>4</v>
      </c>
      <c r="H70" s="122">
        <v>1</v>
      </c>
      <c r="I70" s="121" t="s">
        <v>306</v>
      </c>
      <c r="J70" s="121" t="s">
        <v>306</v>
      </c>
      <c r="K70" s="96"/>
    </row>
    <row r="71" spans="1:11" ht="15" x14ac:dyDescent="0.2">
      <c r="A71" s="124">
        <v>69</v>
      </c>
      <c r="B71" s="121" t="s">
        <v>893</v>
      </c>
      <c r="C71" s="121" t="s">
        <v>894</v>
      </c>
      <c r="D71" s="123">
        <v>26466</v>
      </c>
      <c r="E71" s="124">
        <f t="shared" ca="1" si="5"/>
        <v>53</v>
      </c>
      <c r="F71" s="123">
        <v>39314</v>
      </c>
      <c r="G71" s="122">
        <f t="shared" ca="1" si="4"/>
        <v>18</v>
      </c>
      <c r="H71" s="122">
        <v>1</v>
      </c>
      <c r="I71" s="121" t="s">
        <v>306</v>
      </c>
      <c r="J71" s="121" t="s">
        <v>306</v>
      </c>
      <c r="K71" s="96"/>
    </row>
    <row r="72" spans="1:11" ht="15" x14ac:dyDescent="0.2">
      <c r="A72" s="124">
        <v>70</v>
      </c>
      <c r="B72" s="121" t="s">
        <v>895</v>
      </c>
      <c r="C72" s="121" t="s">
        <v>842</v>
      </c>
      <c r="D72" s="123">
        <v>22630</v>
      </c>
      <c r="E72" s="124">
        <f t="shared" ca="1" si="5"/>
        <v>64</v>
      </c>
      <c r="F72" s="123">
        <v>43586</v>
      </c>
      <c r="G72" s="122">
        <f t="shared" ca="1" si="4"/>
        <v>7</v>
      </c>
      <c r="H72" s="122">
        <v>1</v>
      </c>
      <c r="I72" s="121" t="s">
        <v>306</v>
      </c>
      <c r="J72" s="121" t="s">
        <v>772</v>
      </c>
      <c r="K72" s="96"/>
    </row>
    <row r="73" spans="1:11" ht="15" x14ac:dyDescent="0.2">
      <c r="A73" s="124">
        <v>71</v>
      </c>
      <c r="B73" s="121" t="s">
        <v>896</v>
      </c>
      <c r="C73" s="121" t="s">
        <v>897</v>
      </c>
      <c r="D73" s="123">
        <v>23551</v>
      </c>
      <c r="E73" s="124">
        <f t="shared" ca="1" si="5"/>
        <v>61</v>
      </c>
      <c r="F73" s="123">
        <v>37578</v>
      </c>
      <c r="G73" s="122">
        <f t="shared" ca="1" si="4"/>
        <v>23</v>
      </c>
      <c r="H73" s="122">
        <v>1</v>
      </c>
      <c r="I73" s="121" t="s">
        <v>306</v>
      </c>
      <c r="J73" s="121" t="s">
        <v>306</v>
      </c>
      <c r="K73" s="96"/>
    </row>
    <row r="74" spans="1:11" ht="15" x14ac:dyDescent="0.2">
      <c r="A74" s="124">
        <v>72</v>
      </c>
      <c r="B74" s="121" t="s">
        <v>898</v>
      </c>
      <c r="C74" s="121" t="s">
        <v>899</v>
      </c>
      <c r="D74" s="123">
        <v>26559</v>
      </c>
      <c r="E74" s="124">
        <f t="shared" ca="1" si="5"/>
        <v>53</v>
      </c>
      <c r="F74" s="123">
        <v>45488</v>
      </c>
      <c r="G74" s="122">
        <f t="shared" ca="1" si="4"/>
        <v>1</v>
      </c>
      <c r="H74" s="122">
        <v>1</v>
      </c>
      <c r="I74" s="121"/>
      <c r="J74" s="121"/>
      <c r="K74" s="96"/>
    </row>
    <row r="75" spans="1:11" ht="15" x14ac:dyDescent="0.2">
      <c r="A75" s="124">
        <v>73</v>
      </c>
      <c r="B75" s="121" t="s">
        <v>900</v>
      </c>
      <c r="C75" s="121" t="s">
        <v>901</v>
      </c>
      <c r="D75" s="123">
        <v>27447</v>
      </c>
      <c r="E75" s="124">
        <f t="shared" ca="1" si="5"/>
        <v>51</v>
      </c>
      <c r="F75" s="123">
        <v>44872</v>
      </c>
      <c r="G75" s="122">
        <f t="shared" ca="1" si="4"/>
        <v>3</v>
      </c>
      <c r="H75" s="122">
        <v>1</v>
      </c>
      <c r="I75" s="121" t="s">
        <v>306</v>
      </c>
      <c r="J75" s="121" t="s">
        <v>306</v>
      </c>
      <c r="K75" s="96"/>
    </row>
    <row r="76" spans="1:11" ht="15" x14ac:dyDescent="0.2">
      <c r="A76" s="124">
        <v>74</v>
      </c>
      <c r="B76" s="121" t="s">
        <v>902</v>
      </c>
      <c r="C76" s="121" t="s">
        <v>903</v>
      </c>
      <c r="D76" s="123">
        <v>25250</v>
      </c>
      <c r="E76" s="124">
        <f t="shared" ca="1" si="5"/>
        <v>57</v>
      </c>
      <c r="F76" s="123">
        <v>44713</v>
      </c>
      <c r="G76" s="122">
        <f t="shared" ca="1" si="4"/>
        <v>3</v>
      </c>
      <c r="H76" s="122">
        <v>1</v>
      </c>
      <c r="I76" s="121" t="s">
        <v>306</v>
      </c>
      <c r="J76" s="121" t="s">
        <v>306</v>
      </c>
      <c r="K76" s="96"/>
    </row>
    <row r="77" spans="1:11" ht="15" x14ac:dyDescent="0.2">
      <c r="A77" s="124">
        <v>75</v>
      </c>
      <c r="B77" s="121" t="s">
        <v>904</v>
      </c>
      <c r="C77" s="121" t="s">
        <v>905</v>
      </c>
      <c r="D77" s="123">
        <v>25231</v>
      </c>
      <c r="E77" s="124">
        <f t="shared" ca="1" si="5"/>
        <v>57</v>
      </c>
      <c r="F77" s="123">
        <v>44837</v>
      </c>
      <c r="G77" s="122">
        <f t="shared" ca="1" si="4"/>
        <v>3</v>
      </c>
      <c r="H77" s="122">
        <v>1</v>
      </c>
      <c r="I77" s="121" t="s">
        <v>306</v>
      </c>
      <c r="J77" s="121"/>
      <c r="K77" s="96"/>
    </row>
    <row r="78" spans="1:11" ht="15" x14ac:dyDescent="0.2">
      <c r="A78" s="124">
        <v>76</v>
      </c>
      <c r="B78" s="121" t="s">
        <v>906</v>
      </c>
      <c r="C78" s="121" t="s">
        <v>780</v>
      </c>
      <c r="D78" s="123">
        <v>33119</v>
      </c>
      <c r="E78" s="124">
        <f t="shared" ca="1" si="5"/>
        <v>35</v>
      </c>
      <c r="F78" s="123">
        <v>45019</v>
      </c>
      <c r="G78" s="122">
        <f t="shared" ca="1" si="4"/>
        <v>3</v>
      </c>
      <c r="H78" s="122">
        <v>1</v>
      </c>
      <c r="I78" s="121"/>
      <c r="J78" s="121" t="s">
        <v>814</v>
      </c>
      <c r="K78" s="96"/>
    </row>
    <row r="79" spans="1:11" ht="15" x14ac:dyDescent="0.2">
      <c r="A79" s="124">
        <v>77</v>
      </c>
      <c r="B79" s="121" t="s">
        <v>907</v>
      </c>
      <c r="C79" s="121" t="s">
        <v>883</v>
      </c>
      <c r="D79" s="123">
        <v>24590</v>
      </c>
      <c r="E79" s="124">
        <f t="shared" ca="1" si="5"/>
        <v>59</v>
      </c>
      <c r="F79" s="123">
        <v>38992</v>
      </c>
      <c r="G79" s="122">
        <f t="shared" ca="1" si="4"/>
        <v>19</v>
      </c>
      <c r="H79" s="122">
        <v>0</v>
      </c>
      <c r="I79" s="121" t="s">
        <v>306</v>
      </c>
      <c r="J79" s="121" t="s">
        <v>817</v>
      </c>
      <c r="K79" s="96"/>
    </row>
    <row r="80" spans="1:11" ht="15" x14ac:dyDescent="0.2">
      <c r="A80" s="124">
        <v>78</v>
      </c>
      <c r="B80" s="121" t="s">
        <v>908</v>
      </c>
      <c r="C80" s="121" t="s">
        <v>909</v>
      </c>
      <c r="D80" s="123">
        <v>24264</v>
      </c>
      <c r="E80" s="124">
        <f t="shared" ca="1" si="5"/>
        <v>59</v>
      </c>
      <c r="F80" s="123">
        <v>45537</v>
      </c>
      <c r="G80" s="122">
        <f t="shared" ca="1" si="4"/>
        <v>1</v>
      </c>
      <c r="H80" s="122">
        <v>1</v>
      </c>
      <c r="I80" s="121"/>
      <c r="J80" s="121"/>
      <c r="K80" s="96"/>
    </row>
    <row r="81" spans="1:11" ht="15" x14ac:dyDescent="0.2">
      <c r="A81" s="124">
        <v>79</v>
      </c>
      <c r="B81" s="121" t="s">
        <v>910</v>
      </c>
      <c r="C81" s="121" t="s">
        <v>889</v>
      </c>
      <c r="D81" s="123">
        <v>26307</v>
      </c>
      <c r="E81" s="124">
        <f t="shared" ca="1" si="5"/>
        <v>54</v>
      </c>
      <c r="F81" s="123">
        <v>43115</v>
      </c>
      <c r="G81" s="122">
        <f t="shared" ca="1" si="4"/>
        <v>8</v>
      </c>
      <c r="H81" s="122">
        <v>1</v>
      </c>
      <c r="I81" s="121" t="s">
        <v>306</v>
      </c>
      <c r="J81" s="121" t="s">
        <v>306</v>
      </c>
      <c r="K81" s="96"/>
    </row>
    <row r="82" spans="1:11" thickBot="1" x14ac:dyDescent="0.25">
      <c r="A82" s="120">
        <v>80</v>
      </c>
      <c r="B82" s="117" t="s">
        <v>911</v>
      </c>
      <c r="C82" s="117" t="s">
        <v>912</v>
      </c>
      <c r="D82" s="119">
        <v>28258</v>
      </c>
      <c r="E82" s="120">
        <f t="shared" ca="1" si="5"/>
        <v>49</v>
      </c>
      <c r="F82" s="119">
        <v>44704</v>
      </c>
      <c r="G82" s="118">
        <f t="shared" ca="1" si="4"/>
        <v>3</v>
      </c>
      <c r="H82" s="118">
        <v>1</v>
      </c>
      <c r="I82" s="117" t="s">
        <v>306</v>
      </c>
      <c r="J82" s="117" t="s">
        <v>306</v>
      </c>
      <c r="K82" s="96"/>
    </row>
    <row r="83" spans="1:11" ht="15.75" customHeight="1" thickTop="1" x14ac:dyDescent="0.2">
      <c r="A83" s="104"/>
      <c r="B83" s="104"/>
      <c r="C83" s="104"/>
      <c r="D83" s="104"/>
      <c r="E83" s="116">
        <f ca="1">AVERAGE(E3:E82)</f>
        <v>50.625</v>
      </c>
      <c r="F83" s="115"/>
      <c r="G83" s="114">
        <f ca="1">AVERAGE(G3:G82)</f>
        <v>8.2125000000000004</v>
      </c>
      <c r="H83" s="113">
        <f>SUM(H3:H82)</f>
        <v>75</v>
      </c>
      <c r="I83" s="104"/>
      <c r="J83" s="104"/>
      <c r="K83" s="96"/>
    </row>
    <row r="84" spans="1:11" ht="15.75" customHeight="1" x14ac:dyDescent="0.25">
      <c r="A84" s="111"/>
      <c r="C84" s="98"/>
      <c r="D84" s="97"/>
      <c r="G84" s="112"/>
      <c r="K84" s="96"/>
    </row>
    <row r="85" spans="1:11" ht="15.75" customHeight="1" x14ac:dyDescent="0.25">
      <c r="A85" s="111"/>
      <c r="C85" s="98"/>
      <c r="D85" s="97"/>
      <c r="K85" s="96"/>
    </row>
    <row r="86" spans="1:11" ht="15.75" customHeight="1" x14ac:dyDescent="0.25">
      <c r="A86" s="111"/>
      <c r="C86" s="98"/>
      <c r="D86" s="97"/>
      <c r="K86" s="96"/>
    </row>
    <row r="87" spans="1:11" ht="15.75" customHeight="1" x14ac:dyDescent="0.25">
      <c r="A87" s="179" t="s">
        <v>913</v>
      </c>
      <c r="B87" s="180"/>
      <c r="C87" s="180"/>
      <c r="D87" s="180"/>
      <c r="E87" s="180"/>
      <c r="F87" s="180"/>
      <c r="G87" s="180"/>
      <c r="H87" s="180"/>
      <c r="I87" s="180"/>
      <c r="J87" s="180"/>
      <c r="K87" s="96"/>
    </row>
    <row r="88" spans="1:11" ht="15.75" customHeight="1" x14ac:dyDescent="0.25">
      <c r="A88" s="110" t="s">
        <v>752</v>
      </c>
      <c r="B88" s="108" t="s">
        <v>753</v>
      </c>
      <c r="C88" s="108" t="s">
        <v>754</v>
      </c>
      <c r="D88" s="108" t="s">
        <v>755</v>
      </c>
      <c r="E88" s="108" t="s">
        <v>756</v>
      </c>
      <c r="F88" s="108" t="s">
        <v>757</v>
      </c>
      <c r="G88" s="109" t="s">
        <v>758</v>
      </c>
      <c r="H88" s="108" t="s">
        <v>759</v>
      </c>
      <c r="I88" s="108" t="s">
        <v>760</v>
      </c>
      <c r="J88" s="108" t="s">
        <v>761</v>
      </c>
    </row>
    <row r="89" spans="1:11" ht="15.75" customHeight="1" x14ac:dyDescent="0.2">
      <c r="A89" s="105">
        <v>1</v>
      </c>
      <c r="B89" s="107" t="s">
        <v>914</v>
      </c>
      <c r="C89" s="107" t="s">
        <v>915</v>
      </c>
      <c r="D89" s="106">
        <v>21989</v>
      </c>
      <c r="E89" s="102">
        <f ca="1">ROUNDDOWN(YEARFRAC(D89,TODAY(),3),0)</f>
        <v>66</v>
      </c>
      <c r="F89" s="101">
        <v>39814</v>
      </c>
      <c r="G89" s="100">
        <f ca="1">ROUNDDOWN(YEARFRAC(F89,(TODAY()),3),0)</f>
        <v>17</v>
      </c>
      <c r="H89" s="100" t="s">
        <v>916</v>
      </c>
      <c r="I89" s="99"/>
      <c r="J89" s="99"/>
    </row>
    <row r="90" spans="1:11" ht="15.75" customHeight="1" x14ac:dyDescent="0.2">
      <c r="A90" s="105">
        <v>2</v>
      </c>
      <c r="B90" s="103" t="s">
        <v>917</v>
      </c>
      <c r="C90" s="103" t="s">
        <v>878</v>
      </c>
      <c r="D90" s="101">
        <v>22952</v>
      </c>
      <c r="E90" s="102">
        <f ca="1">ROUNDDOWN(YEARFRAC(D90,TODAY(),3),0)</f>
        <v>63</v>
      </c>
      <c r="F90" s="101">
        <v>44958</v>
      </c>
      <c r="G90" s="100">
        <f ca="1">ROUNDDOWN(YEARFRAC(F90,(TODAY()),3),0)</f>
        <v>3</v>
      </c>
      <c r="H90" s="100" t="s">
        <v>916</v>
      </c>
      <c r="I90" s="99"/>
      <c r="J90" s="99" t="s">
        <v>918</v>
      </c>
    </row>
    <row r="91" spans="1:11" s="104" customFormat="1" ht="15.75" hidden="1" customHeight="1" x14ac:dyDescent="0.2">
      <c r="A91" s="99">
        <v>3</v>
      </c>
      <c r="B91" s="99" t="s">
        <v>919</v>
      </c>
      <c r="C91" s="99" t="s">
        <v>920</v>
      </c>
      <c r="D91" s="134">
        <v>35953</v>
      </c>
      <c r="E91" s="102">
        <f ca="1">ROUNDDOWN(YEARFRAC(D91,TODAY(),3),0)</f>
        <v>27</v>
      </c>
      <c r="F91" s="101">
        <v>45691</v>
      </c>
      <c r="G91" s="100">
        <f ca="1">ROUNDDOWN(YEARFRAC(F91,(TODAY()),3),0)</f>
        <v>1</v>
      </c>
      <c r="H91" s="99">
        <v>1</v>
      </c>
      <c r="I91" s="99"/>
      <c r="J91" s="99"/>
    </row>
    <row r="92" spans="1:11" ht="15.75" customHeight="1" x14ac:dyDescent="0.2">
      <c r="A92" s="103">
        <v>4</v>
      </c>
      <c r="B92" s="103" t="s">
        <v>860</v>
      </c>
      <c r="C92" s="103" t="s">
        <v>921</v>
      </c>
      <c r="D92" s="101">
        <v>22346</v>
      </c>
      <c r="E92" s="102">
        <f ca="1">ROUNDDOWN(YEARFRAC(D92,TODAY(),3),0)</f>
        <v>65</v>
      </c>
      <c r="F92" s="101">
        <v>45677</v>
      </c>
      <c r="G92" s="100">
        <f ca="1">ROUNDDOWN(YEARFRAC(F92,(TODAY()),3),0)</f>
        <v>1</v>
      </c>
      <c r="H92" s="100">
        <v>1</v>
      </c>
      <c r="I92" s="99"/>
      <c r="J92" s="99"/>
    </row>
    <row r="93" spans="1:11" ht="15.75" customHeight="1" x14ac:dyDescent="0.2">
      <c r="A93" s="103">
        <v>5</v>
      </c>
      <c r="B93" s="103" t="s">
        <v>922</v>
      </c>
      <c r="C93" s="103" t="s">
        <v>923</v>
      </c>
      <c r="D93" s="101">
        <v>31589</v>
      </c>
      <c r="E93" s="102">
        <f ca="1">ROUNDDOWN(YEARFRAC(D93,TODAY(),3),0)</f>
        <v>39</v>
      </c>
      <c r="F93" s="101">
        <v>46054</v>
      </c>
      <c r="G93" s="100">
        <f ca="1">ROUNDDOWN(YEARFRAC(F93,(TODAY()),3),0)</f>
        <v>0</v>
      </c>
      <c r="H93" s="100">
        <v>1</v>
      </c>
      <c r="I93" s="99"/>
      <c r="J93" s="99"/>
    </row>
    <row r="94" spans="1:11" ht="15.75" customHeight="1" x14ac:dyDescent="0.25">
      <c r="B94" s="96" t="s">
        <v>924</v>
      </c>
    </row>
  </sheetData>
  <autoFilter ref="A2:K93" xr:uid="{00000000-0009-0000-0000-000000000000}">
    <filterColumn colId="5">
      <filters blank="1">
        <filter val="Eintritt"/>
        <dateGroupItem year="2026" dateTimeGrouping="year"/>
        <dateGroupItem year="2025" month="1" dateTimeGrouping="month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3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2" dateTimeGrouping="year"/>
        <dateGroupItem year="2001" dateTimeGrouping="year"/>
        <dateGroupItem year="2000" dateTimeGrouping="year"/>
        <dateGroupItem year="1999" dateTimeGrouping="year"/>
        <dateGroupItem year="1996" dateTimeGrouping="year"/>
        <dateGroupItem year="1988" dateTimeGrouping="year"/>
      </filters>
    </filterColumn>
  </autoFilter>
  <mergeCells count="2">
    <mergeCell ref="A1:J1"/>
    <mergeCell ref="A87:J87"/>
  </mergeCells>
  <conditionalFormatting sqref="E3:E82 E89:E93">
    <cfRule type="cellIs" dxfId="2" priority="1" operator="greaterThanOrEqual">
      <formula>60</formula>
    </cfRule>
  </conditionalFormatting>
  <pageMargins left="0.55118110236220474" right="0.15748031496062992" top="0.78740157480314965" bottom="0.78740157480314965" header="0.31496062992125984" footer="0.31496062992125984"/>
  <pageSetup paperSize="9" orientation="portrait" r:id="rId1"/>
  <headerFooter>
    <oddHeader>&amp;C&amp;"Arial Rounded MT Bold,Standard"&amp;14Fahrer Lorang S.A.</oddHeader>
    <oddFooter>&amp;C&amp;P/&amp;N&amp;RStand: 27.07.2022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325C-1401-4DD3-99B3-2DE82B04C2B4}">
  <dimension ref="A1:J79"/>
  <sheetViews>
    <sheetView zoomScale="130" zoomScaleNormal="130" workbookViewId="0">
      <selection activeCell="I14" sqref="I14"/>
    </sheetView>
  </sheetViews>
  <sheetFormatPr baseColWidth="10" defaultColWidth="9.140625" defaultRowHeight="15" x14ac:dyDescent="0.25"/>
  <cols>
    <col min="1" max="1" width="10.85546875" style="43" customWidth="1"/>
    <col min="2" max="2" width="14.85546875" style="43" customWidth="1"/>
    <col min="3" max="5" width="22.140625" style="43" customWidth="1"/>
    <col min="6" max="6" width="13" style="43" customWidth="1"/>
    <col min="7" max="7" width="13.42578125" style="43" customWidth="1"/>
    <col min="8" max="8" width="23.85546875" style="43" customWidth="1"/>
    <col min="9" max="9" width="26.28515625" style="43" customWidth="1"/>
    <col min="10" max="10" width="14.7109375" style="43" customWidth="1"/>
    <col min="11" max="16384" width="9.140625" style="43"/>
  </cols>
  <sheetData>
    <row r="1" spans="1:10" ht="21" x14ac:dyDescent="0.35">
      <c r="A1" s="138" t="s">
        <v>925</v>
      </c>
      <c r="B1" s="139" t="s">
        <v>926</v>
      </c>
      <c r="C1" s="139" t="s">
        <v>927</v>
      </c>
      <c r="D1" s="139" t="s">
        <v>928</v>
      </c>
      <c r="E1" s="139" t="s">
        <v>929</v>
      </c>
      <c r="F1" s="139" t="s">
        <v>930</v>
      </c>
      <c r="G1" s="139" t="s">
        <v>931</v>
      </c>
      <c r="H1" s="139" t="s">
        <v>932</v>
      </c>
      <c r="I1" s="139" t="s">
        <v>933</v>
      </c>
      <c r="J1" s="140" t="s">
        <v>934</v>
      </c>
    </row>
    <row r="2" spans="1:10" s="135" customFormat="1" ht="15.75" x14ac:dyDescent="0.25">
      <c r="A2" s="141">
        <v>2026</v>
      </c>
      <c r="B2" s="136" t="s">
        <v>935</v>
      </c>
      <c r="C2" s="136">
        <v>80</v>
      </c>
      <c r="D2" s="137">
        <f>J2*1.2</f>
        <v>86.399999999999991</v>
      </c>
      <c r="E2" s="137">
        <f>D2-C2</f>
        <v>6.3999999999999915</v>
      </c>
      <c r="F2" s="136">
        <f>Liste!H83</f>
        <v>75</v>
      </c>
      <c r="G2" s="136">
        <v>15</v>
      </c>
      <c r="H2" s="136">
        <f>C2-F2</f>
        <v>5</v>
      </c>
      <c r="I2" s="136">
        <v>4</v>
      </c>
      <c r="J2" s="142">
        <v>72</v>
      </c>
    </row>
    <row r="3" spans="1:10" s="135" customFormat="1" ht="15.75" x14ac:dyDescent="0.25">
      <c r="A3" s="141">
        <v>2026</v>
      </c>
      <c r="B3" s="136" t="s">
        <v>936</v>
      </c>
      <c r="C3" s="136">
        <v>80</v>
      </c>
      <c r="D3" s="137">
        <f t="shared" ref="D3:D5" si="0">J3*1.2</f>
        <v>85.2</v>
      </c>
      <c r="E3" s="137">
        <f>D3-C3</f>
        <v>5.2000000000000028</v>
      </c>
      <c r="F3" s="136">
        <v>75</v>
      </c>
      <c r="G3" s="136">
        <v>15</v>
      </c>
      <c r="H3" s="136">
        <v>5</v>
      </c>
      <c r="I3" s="136">
        <v>4</v>
      </c>
      <c r="J3" s="142">
        <v>71</v>
      </c>
    </row>
    <row r="4" spans="1:10" s="135" customFormat="1" ht="15.75" x14ac:dyDescent="0.25">
      <c r="A4" s="141">
        <v>2026</v>
      </c>
      <c r="B4" s="136" t="s">
        <v>937</v>
      </c>
      <c r="C4" s="136"/>
      <c r="D4" s="137">
        <f t="shared" si="0"/>
        <v>85.2</v>
      </c>
      <c r="E4" s="137"/>
      <c r="F4" s="136"/>
      <c r="G4" s="136"/>
      <c r="H4" s="136"/>
      <c r="I4" s="136"/>
      <c r="J4" s="142">
        <v>71</v>
      </c>
    </row>
    <row r="5" spans="1:10" s="135" customFormat="1" ht="15.75" x14ac:dyDescent="0.25">
      <c r="A5" s="141">
        <v>2026</v>
      </c>
      <c r="B5" s="136" t="s">
        <v>938</v>
      </c>
      <c r="C5" s="136"/>
      <c r="D5" s="137">
        <f t="shared" si="0"/>
        <v>85.2</v>
      </c>
      <c r="E5" s="137"/>
      <c r="F5" s="136"/>
      <c r="G5" s="136"/>
      <c r="H5" s="136"/>
      <c r="I5" s="136"/>
      <c r="J5" s="142">
        <v>71</v>
      </c>
    </row>
    <row r="6" spans="1:10" s="135" customFormat="1" ht="15.75" x14ac:dyDescent="0.25">
      <c r="A6" s="143">
        <v>2027</v>
      </c>
      <c r="B6" s="144" t="s">
        <v>935</v>
      </c>
      <c r="C6" s="144"/>
      <c r="D6" s="144"/>
      <c r="E6" s="146"/>
      <c r="F6" s="144"/>
      <c r="G6" s="144"/>
      <c r="H6" s="144"/>
      <c r="I6" s="144"/>
      <c r="J6" s="145"/>
    </row>
    <row r="7" spans="1:10" s="135" customFormat="1" ht="15.75" x14ac:dyDescent="0.25"/>
    <row r="8" spans="1:10" s="135" customFormat="1" ht="15.75" x14ac:dyDescent="0.25"/>
    <row r="9" spans="1:10" s="135" customFormat="1" ht="15.75" x14ac:dyDescent="0.25"/>
    <row r="10" spans="1:10" s="135" customFormat="1" ht="15.75" x14ac:dyDescent="0.25"/>
    <row r="11" spans="1:10" s="135" customFormat="1" ht="15.75" x14ac:dyDescent="0.25"/>
    <row r="12" spans="1:10" s="135" customFormat="1" ht="15.75" x14ac:dyDescent="0.25"/>
    <row r="13" spans="1:10" s="135" customFormat="1" ht="15.75" x14ac:dyDescent="0.25"/>
    <row r="14" spans="1:10" s="135" customFormat="1" ht="15.75" x14ac:dyDescent="0.25"/>
    <row r="15" spans="1:10" s="135" customFormat="1" ht="15.75" x14ac:dyDescent="0.25"/>
    <row r="16" spans="1:10" s="135" customFormat="1" ht="15.75" x14ac:dyDescent="0.25"/>
    <row r="17" s="135" customFormat="1" ht="15.75" x14ac:dyDescent="0.25"/>
    <row r="18" s="135" customFormat="1" ht="15.75" x14ac:dyDescent="0.25"/>
    <row r="19" s="135" customFormat="1" ht="15.75" x14ac:dyDescent="0.25"/>
    <row r="20" s="135" customFormat="1" ht="15.75" x14ac:dyDescent="0.25"/>
    <row r="21" s="135" customFormat="1" ht="15.75" x14ac:dyDescent="0.25"/>
    <row r="22" s="135" customFormat="1" ht="15.75" x14ac:dyDescent="0.25"/>
    <row r="23" s="135" customFormat="1" ht="15.75" x14ac:dyDescent="0.25"/>
    <row r="24" s="135" customFormat="1" ht="15.75" x14ac:dyDescent="0.25"/>
    <row r="25" s="135" customFormat="1" ht="15.75" x14ac:dyDescent="0.25"/>
    <row r="26" s="135" customFormat="1" ht="15.75" x14ac:dyDescent="0.25"/>
    <row r="27" s="135" customFormat="1" ht="15.75" x14ac:dyDescent="0.25"/>
    <row r="28" s="135" customFormat="1" ht="15.75" x14ac:dyDescent="0.25"/>
    <row r="29" s="135" customFormat="1" ht="15.75" x14ac:dyDescent="0.25"/>
    <row r="30" s="135" customFormat="1" ht="15.75" x14ac:dyDescent="0.25"/>
    <row r="31" s="135" customFormat="1" ht="15.75" x14ac:dyDescent="0.25"/>
    <row r="32" s="135" customFormat="1" ht="15.75" x14ac:dyDescent="0.25"/>
    <row r="33" s="135" customFormat="1" ht="15.75" x14ac:dyDescent="0.25"/>
    <row r="34" s="135" customFormat="1" ht="15.75" x14ac:dyDescent="0.25"/>
    <row r="35" s="135" customFormat="1" ht="15.75" x14ac:dyDescent="0.25"/>
    <row r="36" s="135" customFormat="1" ht="15.75" x14ac:dyDescent="0.25"/>
    <row r="37" s="135" customFormat="1" ht="15.75" x14ac:dyDescent="0.25"/>
    <row r="38" s="135" customFormat="1" ht="15.75" x14ac:dyDescent="0.25"/>
    <row r="39" s="135" customFormat="1" ht="15.75" x14ac:dyDescent="0.25"/>
    <row r="40" s="135" customFormat="1" ht="15.75" x14ac:dyDescent="0.25"/>
    <row r="41" s="135" customFormat="1" ht="15.75" x14ac:dyDescent="0.25"/>
    <row r="42" s="135" customFormat="1" ht="15.75" x14ac:dyDescent="0.25"/>
    <row r="43" s="135" customFormat="1" ht="15.75" x14ac:dyDescent="0.25"/>
    <row r="44" s="135" customFormat="1" ht="15.75" x14ac:dyDescent="0.25"/>
    <row r="45" s="135" customFormat="1" ht="15.75" x14ac:dyDescent="0.25"/>
    <row r="46" s="135" customFormat="1" ht="15.75" x14ac:dyDescent="0.25"/>
    <row r="47" s="135" customFormat="1" ht="15.75" x14ac:dyDescent="0.25"/>
    <row r="48" s="135" customFormat="1" ht="15.75" x14ac:dyDescent="0.25"/>
    <row r="49" s="135" customFormat="1" ht="15.75" x14ac:dyDescent="0.25"/>
    <row r="50" s="135" customFormat="1" ht="15.75" x14ac:dyDescent="0.25"/>
    <row r="51" s="135" customFormat="1" ht="15.75" x14ac:dyDescent="0.25"/>
    <row r="52" s="135" customFormat="1" ht="15.75" x14ac:dyDescent="0.25"/>
    <row r="53" s="135" customFormat="1" ht="15.75" x14ac:dyDescent="0.25"/>
    <row r="54" s="135" customFormat="1" ht="15.75" x14ac:dyDescent="0.25"/>
    <row r="55" s="135" customFormat="1" ht="15.75" x14ac:dyDescent="0.25"/>
    <row r="56" s="135" customFormat="1" ht="15.75" x14ac:dyDescent="0.25"/>
    <row r="57" s="135" customFormat="1" ht="15.75" x14ac:dyDescent="0.25"/>
    <row r="58" s="135" customFormat="1" ht="15.75" x14ac:dyDescent="0.25"/>
    <row r="59" s="135" customFormat="1" ht="15.75" x14ac:dyDescent="0.25"/>
    <row r="60" s="135" customFormat="1" ht="15.75" x14ac:dyDescent="0.25"/>
    <row r="61" s="135" customFormat="1" ht="15.75" x14ac:dyDescent="0.25"/>
    <row r="62" s="135" customFormat="1" ht="15.75" x14ac:dyDescent="0.25"/>
    <row r="63" s="135" customFormat="1" ht="15.75" x14ac:dyDescent="0.25"/>
    <row r="64" s="135" customFormat="1" ht="15.75" x14ac:dyDescent="0.25"/>
    <row r="65" s="135" customFormat="1" ht="15.75" x14ac:dyDescent="0.25"/>
    <row r="66" s="135" customFormat="1" ht="15.75" x14ac:dyDescent="0.25"/>
    <row r="67" s="135" customFormat="1" ht="15.75" x14ac:dyDescent="0.25"/>
    <row r="68" s="135" customFormat="1" ht="15.75" x14ac:dyDescent="0.25"/>
    <row r="69" s="135" customFormat="1" ht="15.75" x14ac:dyDescent="0.25"/>
    <row r="70" s="135" customFormat="1" ht="15.75" x14ac:dyDescent="0.25"/>
    <row r="71" s="135" customFormat="1" ht="15.75" x14ac:dyDescent="0.25"/>
    <row r="72" s="135" customFormat="1" ht="15.75" x14ac:dyDescent="0.25"/>
    <row r="73" s="135" customFormat="1" ht="15.75" x14ac:dyDescent="0.25"/>
    <row r="74" s="135" customFormat="1" ht="15.75" x14ac:dyDescent="0.25"/>
    <row r="75" s="135" customFormat="1" ht="15.75" x14ac:dyDescent="0.25"/>
    <row r="76" s="135" customFormat="1" ht="15.75" x14ac:dyDescent="0.25"/>
    <row r="77" s="135" customFormat="1" ht="15.75" x14ac:dyDescent="0.25"/>
    <row r="78" s="135" customFormat="1" ht="15.75" x14ac:dyDescent="0.25"/>
    <row r="79" s="135" customFormat="1" ht="15.75" x14ac:dyDescent="0.25"/>
  </sheetData>
  <autoFilter ref="A1:J37" xr:uid="{B679325C-1401-4DD3-99B3-2DE82B04C2B4}"/>
  <conditionalFormatting sqref="E2:E6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694B-986A-4537-B48E-4B2A59A5DAD8}">
  <dimension ref="A1:B7"/>
  <sheetViews>
    <sheetView tabSelected="1" workbookViewId="0">
      <selection activeCell="B1" sqref="B1"/>
    </sheetView>
  </sheetViews>
  <sheetFormatPr baseColWidth="10" defaultRowHeight="15" x14ac:dyDescent="0.25"/>
  <cols>
    <col min="1" max="1" width="19.5703125" customWidth="1"/>
    <col min="2" max="2" width="18.28515625" bestFit="1" customWidth="1"/>
  </cols>
  <sheetData>
    <row r="1" spans="1:2" x14ac:dyDescent="0.25">
      <c r="A1" s="43" t="s">
        <v>948</v>
      </c>
      <c r="B1" s="43" t="s">
        <v>947</v>
      </c>
    </row>
    <row r="2" spans="1:2" x14ac:dyDescent="0.25">
      <c r="A2" t="s">
        <v>940</v>
      </c>
      <c r="B2" t="s">
        <v>941</v>
      </c>
    </row>
    <row r="3" spans="1:2" x14ac:dyDescent="0.25">
      <c r="A3" t="s">
        <v>820</v>
      </c>
      <c r="B3" t="s">
        <v>943</v>
      </c>
    </row>
    <row r="4" spans="1:2" x14ac:dyDescent="0.25">
      <c r="A4" t="s">
        <v>942</v>
      </c>
      <c r="B4" t="s">
        <v>939</v>
      </c>
    </row>
    <row r="5" spans="1:2" x14ac:dyDescent="0.25">
      <c r="A5" t="s">
        <v>944</v>
      </c>
      <c r="B5" t="s">
        <v>945</v>
      </c>
    </row>
    <row r="6" spans="1:2" x14ac:dyDescent="0.25">
      <c r="A6" t="s">
        <v>780</v>
      </c>
      <c r="B6" t="s">
        <v>906</v>
      </c>
    </row>
    <row r="7" spans="1:2" x14ac:dyDescent="0.25">
      <c r="A7" t="s">
        <v>921</v>
      </c>
      <c r="B7" t="s">
        <v>946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22BC60542F94CABCE9D3AF83B388A" ma:contentTypeVersion="3" ma:contentTypeDescription="Crée un document." ma:contentTypeScope="" ma:versionID="93b9c879e7bbf0974c24cf0058499700">
  <xsd:schema xmlns:xsd="http://www.w3.org/2001/XMLSchema" xmlns:xs="http://www.w3.org/2001/XMLSchema" xmlns:p="http://schemas.microsoft.com/office/2006/metadata/properties" xmlns:ns2="5a50f20a-8f6e-4e70-8218-dd2496e6794f" targetNamespace="http://schemas.microsoft.com/office/2006/metadata/properties" ma:root="true" ma:fieldsID="f85102c87a0561345f96bfec94de6f7d" ns2:_="">
    <xsd:import namespace="5a50f20a-8f6e-4e70-8218-dd2496e6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0f20a-8f6e-4e70-8218-dd2496e67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83CD2A-7552-4178-A525-03C5B180D4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5ED091-69D6-4003-AF39-69F41BB89233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5a50f20a-8f6e-4e70-8218-dd2496e6794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517D679-B495-4D54-8FC6-048BC77E0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0f20a-8f6e-4e70-8218-dd2496e679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Fuhrpark SA Verteilung Fix</vt:lpstr>
      <vt:lpstr>Tabelle Fahrrer EXT</vt:lpstr>
      <vt:lpstr>Verteilung Fuhrpark SA</vt:lpstr>
      <vt:lpstr>Stammbesetzung</vt:lpstr>
      <vt:lpstr>Trailer </vt:lpstr>
      <vt:lpstr>Liste</vt:lpstr>
      <vt:lpstr>Bedarf</vt:lpstr>
      <vt:lpstr>Springer</vt:lpstr>
      <vt:lpstr>Liste!Impression_des_titres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2026-05-15T14:02:44Z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0x010100FF122BC60542F94CABCE9D3AF83B388A</vt:lpwstr>
  </property>
</Properties>
</file>